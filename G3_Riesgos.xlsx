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iesgos" sheetId="1" state="visible" r:id="rId1"/>
    <sheet xmlns:r="http://schemas.openxmlformats.org/officeDocument/2006/relationships" name="Línea de corte" sheetId="2" state="visible" r:id="rId2"/>
    <sheet xmlns:r="http://schemas.openxmlformats.org/officeDocument/2006/relationships" name="Escala" sheetId="3" state="visible" r:id="rId3"/>
    <sheet xmlns:r="http://schemas.openxmlformats.org/officeDocument/2006/relationships" name="Cambios" sheetId="4" state="visible" r:id="rId4"/>
  </sheets>
  <definedNames>
    <definedName name="_xlnm._FilterDatabase" localSheetId="0" hidden="1">'Riesgos'!$A$1:$L$28</definedName>
  </definedNames>
  <calcPr calcId="124519" fullCalcOnLoad="1" refMode="A1" iterate="0" iterateCount="100" iterateDelta="0.0001"/>
</workbook>
</file>

<file path=xl/styles.xml><?xml version="1.0" encoding="utf-8"?>
<styleSheet xmlns="http://schemas.openxmlformats.org/spreadsheetml/2006/main">
  <numFmts count="6">
    <numFmt numFmtId="164" formatCode="0.0#"/>
    <numFmt numFmtId="165" formatCode="0\ %"/>
    <numFmt numFmtId="166" formatCode="dd/mm/yyyy"/>
    <numFmt numFmtId="167" formatCode="0.0"/>
    <numFmt numFmtId="168" formatCode="0&quot; riesgos&quot;"/>
    <numFmt numFmtId="169" formatCode="0.0%"/>
  </numFmts>
  <fonts count="20">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b val="1"/>
      <sz val="10"/>
    </font>
    <font>
      <name val="Arial"/>
      <charset val="1"/>
      <family val="0"/>
      <sz val="10"/>
    </font>
    <font>
      <name val="Arial"/>
      <charset val="1"/>
      <family val="0"/>
      <color rgb="FF0000FF"/>
      <sz val="10"/>
    </font>
    <font>
      <name val="Arial"/>
      <charset val="1"/>
      <family val="0"/>
      <i val="1"/>
      <sz val="10"/>
    </font>
    <font>
      <name val="Arial"/>
      <charset val="1"/>
      <family val="0"/>
      <b val="1"/>
      <color rgb="FF1F3864"/>
      <sz val="16"/>
    </font>
    <font>
      <name val="Arial"/>
      <charset val="1"/>
      <family val="0"/>
      <b val="1"/>
      <color rgb="FFFFFFFF"/>
      <sz val="12"/>
    </font>
    <font>
      <name val="Arial"/>
      <charset val="1"/>
      <family val="0"/>
      <sz val="11"/>
    </font>
    <font>
      <name val="Arial"/>
      <charset val="1"/>
      <family val="0"/>
      <b val="1"/>
      <color rgb="FF1F3864"/>
      <sz val="14"/>
    </font>
    <font>
      <name val="Arial"/>
      <charset val="1"/>
      <family val="0"/>
      <b val="1"/>
      <sz val="11"/>
    </font>
    <font>
      <name val="Arial"/>
      <charset val="1"/>
      <family val="0"/>
      <i val="1"/>
      <color rgb="FF595959"/>
      <sz val="10"/>
    </font>
    <font>
      <name val="Arial"/>
      <charset val="1"/>
      <family val="0"/>
      <color rgb="FF000000"/>
      <sz val="10"/>
    </font>
    <font>
      <name val="Arial"/>
      <charset val="1"/>
      <family val="0"/>
      <b val="1"/>
      <color rgb="FFFFFFFF"/>
      <sz val="10"/>
    </font>
    <font>
      <name val="Calibri"/>
      <family val="2"/>
      <b val="1"/>
      <color rgb="FF000000"/>
      <sz val="18"/>
    </font>
    <font>
      <name val="Calibri"/>
      <family val="2"/>
      <color rgb="FF000000"/>
      <sz val="10"/>
    </font>
    <font>
      <name val="Calibri"/>
      <family val="2"/>
      <b val="1"/>
      <color rgb="FF000000"/>
      <sz val="10"/>
    </font>
  </fonts>
  <fills count="6">
    <fill>
      <patternFill/>
    </fill>
    <fill>
      <patternFill patternType="gray125"/>
    </fill>
    <fill>
      <patternFill patternType="solid">
        <fgColor rgb="FF1F3864"/>
        <bgColor rgb="FF333333"/>
      </patternFill>
    </fill>
    <fill>
      <patternFill patternType="solid">
        <fgColor rgb="FFC00000"/>
        <bgColor rgb="FF800000"/>
      </patternFill>
    </fill>
    <fill>
      <patternFill patternType="solid">
        <fgColor rgb="FFF2F2F2"/>
        <bgColor rgb="FFFFFFFF"/>
      </patternFill>
    </fill>
    <fill>
      <patternFill patternType="solid">
        <fgColor rgb="FFD9E1F2"/>
        <bgColor rgb="FFD9D9D9"/>
      </patternFill>
    </fill>
  </fills>
  <borders count="5">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top" wrapText="1"/>
    </xf>
    <xf numFmtId="0" fontId="6" fillId="0" borderId="1" applyAlignment="1" pivotButton="0" quotePrefix="0" xfId="0">
      <alignment horizontal="general" vertical="top" wrapText="1"/>
    </xf>
    <xf numFmtId="0" fontId="6" fillId="0" borderId="1" applyAlignment="1" pivotButton="0" quotePrefix="0" xfId="0">
      <alignment horizontal="center" vertical="top" wrapText="1"/>
    </xf>
    <xf numFmtId="164" fontId="7" fillId="0" borderId="1" applyAlignment="1" pivotButton="0" quotePrefix="0" xfId="0">
      <alignment horizontal="center" vertical="top" wrapText="1"/>
    </xf>
    <xf numFmtId="0" fontId="7" fillId="0" borderId="1" applyAlignment="1" pivotButton="0" quotePrefix="0" xfId="0">
      <alignment horizontal="center" vertical="top" wrapText="1"/>
    </xf>
    <xf numFmtId="164" fontId="6" fillId="0" borderId="1" applyAlignment="1" pivotButton="0" quotePrefix="0" xfId="0">
      <alignment horizontal="center" vertical="top" wrapText="1"/>
    </xf>
    <xf numFmtId="0" fontId="4" fillId="3" borderId="0" applyAlignment="1" pivotButton="0" quotePrefix="0" xfId="0">
      <alignment horizontal="general" vertical="center" wrapText="1"/>
    </xf>
    <xf numFmtId="0" fontId="5" fillId="4" borderId="1" applyAlignment="1" pivotButton="0" quotePrefix="0" xfId="0">
      <alignment horizontal="center" vertical="top" wrapText="1"/>
    </xf>
    <xf numFmtId="0" fontId="6" fillId="4" borderId="1" applyAlignment="1" pivotButton="0" quotePrefix="0" xfId="0">
      <alignment horizontal="general" vertical="top" wrapText="1"/>
    </xf>
    <xf numFmtId="0" fontId="6" fillId="4" borderId="1" applyAlignment="1" pivotButton="0" quotePrefix="0" xfId="0">
      <alignment horizontal="center" vertical="top" wrapText="1"/>
    </xf>
    <xf numFmtId="164" fontId="7" fillId="4" borderId="1" applyAlignment="1" pivotButton="0" quotePrefix="0" xfId="0">
      <alignment horizontal="center" vertical="top" wrapText="1"/>
    </xf>
    <xf numFmtId="0" fontId="7" fillId="4" borderId="1" applyAlignment="1" pivotButton="0" quotePrefix="0" xfId="0">
      <alignment horizontal="center" vertical="top" wrapText="1"/>
    </xf>
    <xf numFmtId="164" fontId="6" fillId="4" borderId="1" applyAlignment="1" pivotButton="0" quotePrefix="0" xfId="0">
      <alignment horizontal="center" vertical="top" wrapText="1"/>
    </xf>
    <xf numFmtId="0" fontId="8" fillId="0" borderId="0" applyAlignment="1" pivotButton="0" quotePrefix="0" xfId="0">
      <alignment horizontal="general" vertical="top" wrapText="1"/>
    </xf>
    <xf numFmtId="0" fontId="9" fillId="0" borderId="0" applyAlignment="1" pivotButton="0" quotePrefix="0" xfId="0">
      <alignment horizontal="general" vertical="bottom"/>
    </xf>
    <xf numFmtId="0" fontId="8" fillId="0" borderId="0" applyAlignment="1" pivotButton="0" quotePrefix="0" xfId="0">
      <alignment horizontal="general" vertical="top" wrapText="1"/>
    </xf>
    <xf numFmtId="0" fontId="10" fillId="2" borderId="0" applyAlignment="1" pivotButton="0" quotePrefix="0" xfId="0">
      <alignment horizontal="general" vertical="center"/>
    </xf>
    <xf numFmtId="0" fontId="11" fillId="5" borderId="1" applyAlignment="1" pivotButton="0" quotePrefix="0" xfId="0">
      <alignment horizontal="general" vertical="center"/>
    </xf>
    <xf numFmtId="1" fontId="12" fillId="0" borderId="1" applyAlignment="1" pivotButton="0" quotePrefix="0" xfId="0">
      <alignment horizontal="center" vertical="center" wrapText="1"/>
    </xf>
    <xf numFmtId="165" fontId="12" fillId="0" borderId="1" applyAlignment="1" pivotButton="0" quotePrefix="0" xfId="0">
      <alignment horizontal="center" vertical="center" wrapText="1"/>
    </xf>
    <xf numFmtId="0" fontId="13" fillId="0" borderId="0" applyAlignment="1" pivotButton="0" quotePrefix="0" xfId="0">
      <alignment horizontal="general" vertical="top" wrapText="1"/>
    </xf>
    <xf numFmtId="0" fontId="6" fillId="0" borderId="0" applyAlignment="1" pivotButton="0" quotePrefix="0" xfId="0">
      <alignment horizontal="general" vertical="top" wrapText="1"/>
    </xf>
    <xf numFmtId="0" fontId="6" fillId="0" borderId="0" applyAlignment="1" pivotButton="0" quotePrefix="0" xfId="0">
      <alignment horizontal="general" vertical="bottom"/>
    </xf>
    <xf numFmtId="0" fontId="7" fillId="0" borderId="0" applyAlignment="1" pivotButton="0" quotePrefix="0" xfId="0">
      <alignment horizontal="center" vertical="bottom"/>
    </xf>
    <xf numFmtId="0" fontId="14" fillId="0" borderId="0" applyAlignment="1" pivotButton="0" quotePrefix="0" xfId="0">
      <alignment horizontal="general" vertical="bottom"/>
    </xf>
    <xf numFmtId="166" fontId="7" fillId="0" borderId="0" applyAlignment="1" pivotButton="0" quotePrefix="0" xfId="0">
      <alignment horizontal="center" vertical="bottom"/>
    </xf>
    <xf numFmtId="167" fontId="15" fillId="0" borderId="0" applyAlignment="1" pivotButton="0" quotePrefix="0" xfId="0">
      <alignment horizontal="center" vertical="bottom"/>
    </xf>
    <xf numFmtId="0" fontId="5" fillId="0" borderId="0" applyAlignment="1" pivotButton="0" quotePrefix="0" xfId="0">
      <alignment horizontal="general" vertical="top" wrapText="1"/>
    </xf>
    <xf numFmtId="0" fontId="16" fillId="2" borderId="1" applyAlignment="1" pivotButton="0" quotePrefix="0" xfId="0">
      <alignment horizontal="center" vertical="center" wrapText="1"/>
    </xf>
    <xf numFmtId="168" fontId="7" fillId="0" borderId="1" applyAlignment="1" pivotButton="0" quotePrefix="0" xfId="0">
      <alignment horizontal="center" vertical="bottom"/>
    </xf>
    <xf numFmtId="167" fontId="6" fillId="0" borderId="1" applyAlignment="1" pivotButton="0" quotePrefix="0" xfId="0">
      <alignment horizontal="center" vertical="bottom"/>
    </xf>
    <xf numFmtId="0" fontId="6" fillId="0" borderId="1" applyAlignment="1" pivotButton="0" quotePrefix="0" xfId="0">
      <alignment horizontal="center" vertical="bottom"/>
    </xf>
    <xf numFmtId="0" fontId="6" fillId="0" borderId="1" applyAlignment="1" pivotButton="0" quotePrefix="0" xfId="0">
      <alignment horizontal="left" vertical="center" wrapText="1"/>
    </xf>
    <xf numFmtId="0" fontId="5" fillId="0" borderId="1" applyAlignment="1" pivotButton="0" quotePrefix="0" xfId="0">
      <alignment horizontal="center" vertical="center"/>
    </xf>
    <xf numFmtId="167" fontId="6" fillId="0" borderId="1" applyAlignment="1" pivotButton="0" quotePrefix="0" xfId="0">
      <alignment horizontal="center" vertical="center"/>
    </xf>
    <xf numFmtId="169" fontId="6" fillId="0" borderId="1" applyAlignment="1" pivotButton="0" quotePrefix="0" xfId="0">
      <alignment horizontal="center" vertical="center"/>
    </xf>
    <xf numFmtId="0" fontId="6" fillId="0" borderId="1" applyAlignment="1" pivotButton="0" quotePrefix="0" xfId="0">
      <alignment horizontal="center" vertical="center"/>
    </xf>
    <xf numFmtId="0" fontId="6" fillId="0" borderId="1" applyAlignment="1" pivotButton="0" quotePrefix="0" xfId="0">
      <alignment horizontal="left" vertical="center"/>
    </xf>
    <xf numFmtId="0" fontId="5" fillId="0" borderId="1" applyAlignment="1" pivotButton="0" quotePrefix="0" xfId="0">
      <alignment horizontal="left" vertical="bottom"/>
    </xf>
    <xf numFmtId="0" fontId="0" fillId="0" borderId="1" applyAlignment="1" pivotButton="0" quotePrefix="0" xfId="0">
      <alignment horizontal="center" vertical="bottom"/>
    </xf>
    <xf numFmtId="167" fontId="5" fillId="0" borderId="1" applyAlignment="1" pivotButton="0" quotePrefix="0" xfId="0">
      <alignment horizontal="center" vertical="bottom"/>
    </xf>
    <xf numFmtId="0" fontId="5" fillId="5" borderId="0" applyAlignment="1" pivotButton="0" quotePrefix="0" xfId="0">
      <alignment horizontal="general" vertical="top" wrapText="1"/>
    </xf>
    <xf numFmtId="0" fontId="6" fillId="5"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top" wrapText="1"/>
    </xf>
    <xf numFmtId="0" fontId="6" fillId="0" borderId="1" applyAlignment="1" pivotButton="0" quotePrefix="0" xfId="0">
      <alignment horizontal="general" vertical="top" wrapText="1"/>
    </xf>
    <xf numFmtId="0" fontId="6" fillId="0" borderId="1" applyAlignment="1" pivotButton="0" quotePrefix="0" xfId="0">
      <alignment horizontal="center" vertical="top" wrapText="1"/>
    </xf>
    <xf numFmtId="164" fontId="7" fillId="0" borderId="1" applyAlignment="1" pivotButton="0" quotePrefix="0" xfId="0">
      <alignment horizontal="center" vertical="top" wrapText="1"/>
    </xf>
    <xf numFmtId="0" fontId="7" fillId="0" borderId="1" applyAlignment="1" pivotButton="0" quotePrefix="0" xfId="0">
      <alignment horizontal="center" vertical="top" wrapText="1"/>
    </xf>
    <xf numFmtId="164" fontId="6" fillId="0" borderId="1" applyAlignment="1" pivotButton="0" quotePrefix="0" xfId="0">
      <alignment horizontal="center" vertical="top" wrapText="1"/>
    </xf>
    <xf numFmtId="0" fontId="4" fillId="3" borderId="0" applyAlignment="1" pivotButton="0" quotePrefix="0" xfId="0">
      <alignment horizontal="general" vertical="center" wrapText="1"/>
    </xf>
    <xf numFmtId="0" fontId="5" fillId="4" borderId="1" applyAlignment="1" pivotButton="0" quotePrefix="0" xfId="0">
      <alignment horizontal="center" vertical="top" wrapText="1"/>
    </xf>
    <xf numFmtId="0" fontId="6" fillId="4" borderId="1" applyAlignment="1" pivotButton="0" quotePrefix="0" xfId="0">
      <alignment horizontal="general" vertical="top" wrapText="1"/>
    </xf>
    <xf numFmtId="0" fontId="6" fillId="4" borderId="1" applyAlignment="1" pivotButton="0" quotePrefix="0" xfId="0">
      <alignment horizontal="center" vertical="top" wrapText="1"/>
    </xf>
    <xf numFmtId="164" fontId="7" fillId="4" borderId="1" applyAlignment="1" pivotButton="0" quotePrefix="0" xfId="0">
      <alignment horizontal="center" vertical="top" wrapText="1"/>
    </xf>
    <xf numFmtId="0" fontId="7" fillId="4" borderId="1" applyAlignment="1" pivotButton="0" quotePrefix="0" xfId="0">
      <alignment horizontal="center" vertical="top" wrapText="1"/>
    </xf>
    <xf numFmtId="164" fontId="6" fillId="4" borderId="1" applyAlignment="1" pivotButton="0" quotePrefix="0" xfId="0">
      <alignment horizontal="center" vertical="top" wrapText="1"/>
    </xf>
    <xf numFmtId="0" fontId="8" fillId="0" borderId="0" applyAlignment="1" pivotButton="0" quotePrefix="0" xfId="0">
      <alignment horizontal="general" vertical="top" wrapText="1"/>
    </xf>
    <xf numFmtId="0" fontId="9" fillId="0" borderId="0" applyAlignment="1" pivotButton="0" quotePrefix="0" xfId="0">
      <alignment horizontal="general" vertical="bottom"/>
    </xf>
    <xf numFmtId="0" fontId="10" fillId="2" borderId="0" applyAlignment="1" pivotButton="0" quotePrefix="0" xfId="0">
      <alignment horizontal="general" vertical="center"/>
    </xf>
    <xf numFmtId="0" fontId="11" fillId="5" borderId="1" applyAlignment="1" pivotButton="0" quotePrefix="0" xfId="0">
      <alignment horizontal="general" vertical="center"/>
    </xf>
    <xf numFmtId="1" fontId="12" fillId="0" borderId="1" applyAlignment="1" pivotButton="0" quotePrefix="0" xfId="0">
      <alignment horizontal="center" vertical="center" wrapText="1"/>
    </xf>
    <xf numFmtId="0" fontId="0" fillId="0" borderId="4" pivotButton="0" quotePrefix="0" xfId="0"/>
    <xf numFmtId="165" fontId="12" fillId="0" borderId="1" applyAlignment="1" pivotButton="0" quotePrefix="0" xfId="0">
      <alignment horizontal="center" vertical="center" wrapText="1"/>
    </xf>
    <xf numFmtId="0" fontId="13" fillId="0" borderId="0" applyAlignment="1" pivotButton="0" quotePrefix="0" xfId="0">
      <alignment horizontal="general" vertical="top" wrapText="1"/>
    </xf>
    <xf numFmtId="0" fontId="6" fillId="0" borderId="0" applyAlignment="1" pivotButton="0" quotePrefix="0" xfId="0">
      <alignment horizontal="general" vertical="top" wrapText="1"/>
    </xf>
    <xf numFmtId="0" fontId="6" fillId="0" borderId="0" applyAlignment="1" pivotButton="0" quotePrefix="0" xfId="0">
      <alignment horizontal="general" vertical="bottom"/>
    </xf>
    <xf numFmtId="0" fontId="7" fillId="0" borderId="0" applyAlignment="1" pivotButton="0" quotePrefix="0" xfId="0">
      <alignment horizontal="center" vertical="bottom"/>
    </xf>
    <xf numFmtId="0" fontId="14" fillId="0" borderId="0" applyAlignment="1" pivotButton="0" quotePrefix="0" xfId="0">
      <alignment horizontal="general" vertical="bottom"/>
    </xf>
    <xf numFmtId="166" fontId="7" fillId="0" borderId="0" applyAlignment="1" pivotButton="0" quotePrefix="0" xfId="0">
      <alignment horizontal="center" vertical="bottom"/>
    </xf>
    <xf numFmtId="167" fontId="15" fillId="0" borderId="0" applyAlignment="1" pivotButton="0" quotePrefix="0" xfId="0">
      <alignment horizontal="center" vertical="bottom"/>
    </xf>
    <xf numFmtId="0" fontId="5" fillId="0" borderId="0" applyAlignment="1" pivotButton="0" quotePrefix="0" xfId="0">
      <alignment horizontal="general" vertical="top" wrapText="1"/>
    </xf>
    <xf numFmtId="0" fontId="16" fillId="2" borderId="1" applyAlignment="1" pivotButton="0" quotePrefix="0" xfId="0">
      <alignment horizontal="center" vertical="center" wrapText="1"/>
    </xf>
    <xf numFmtId="168" fontId="7" fillId="0" borderId="1" applyAlignment="1" pivotButton="0" quotePrefix="0" xfId="0">
      <alignment horizontal="center" vertical="bottom"/>
    </xf>
    <xf numFmtId="167" fontId="6" fillId="0" borderId="1" applyAlignment="1" pivotButton="0" quotePrefix="0" xfId="0">
      <alignment horizontal="center" vertical="bottom"/>
    </xf>
    <xf numFmtId="0" fontId="6" fillId="0" borderId="1" applyAlignment="1" pivotButton="0" quotePrefix="0" xfId="0">
      <alignment horizontal="center" vertical="bottom"/>
    </xf>
    <xf numFmtId="0" fontId="6" fillId="0" borderId="1" applyAlignment="1" pivotButton="0" quotePrefix="0" xfId="0">
      <alignment horizontal="left" vertical="center" wrapText="1"/>
    </xf>
    <xf numFmtId="0" fontId="5" fillId="0" borderId="1" applyAlignment="1" pivotButton="0" quotePrefix="0" xfId="0">
      <alignment horizontal="center" vertical="center"/>
    </xf>
    <xf numFmtId="167" fontId="6" fillId="0" borderId="1" applyAlignment="1" pivotButton="0" quotePrefix="0" xfId="0">
      <alignment horizontal="center" vertical="center"/>
    </xf>
    <xf numFmtId="169" fontId="6" fillId="0" borderId="1" applyAlignment="1" pivotButton="0" quotePrefix="0" xfId="0">
      <alignment horizontal="center" vertical="center"/>
    </xf>
    <xf numFmtId="0" fontId="6" fillId="0" borderId="1" applyAlignment="1" pivotButton="0" quotePrefix="0" xfId="0">
      <alignment horizontal="center" vertical="center"/>
    </xf>
    <xf numFmtId="0" fontId="6" fillId="0" borderId="1" applyAlignment="1" pivotButton="0" quotePrefix="0" xfId="0">
      <alignment horizontal="left" vertical="center"/>
    </xf>
    <xf numFmtId="0" fontId="5" fillId="0" borderId="1" applyAlignment="1" pivotButton="0" quotePrefix="0" xfId="0">
      <alignment horizontal="left" vertical="bottom"/>
    </xf>
    <xf numFmtId="0" fontId="0" fillId="0" borderId="1" applyAlignment="1" pivotButton="0" quotePrefix="0" xfId="0">
      <alignment horizontal="center" vertical="bottom"/>
    </xf>
    <xf numFmtId="167" fontId="5" fillId="0" borderId="1" applyAlignment="1" pivotButton="0" quotePrefix="0" xfId="0">
      <alignment horizontal="center" vertical="bottom"/>
    </xf>
    <xf numFmtId="0" fontId="5" fillId="5" borderId="0" applyAlignment="1" pivotButton="0" quotePrefix="0" xfId="0">
      <alignment horizontal="general" vertical="top" wrapText="1"/>
    </xf>
    <xf numFmtId="0" fontId="6" fillId="5"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1F3864"/>
          <bgColor rgb="FF000000"/>
        </patternFill>
      </fill>
    </dxf>
    <dxf>
      <fill>
        <patternFill patternType="solid">
          <fgColor rgb="FFC00000"/>
          <bgColor rgb="FF000000"/>
        </patternFill>
      </fill>
    </dxf>
    <dxf>
      <fill>
        <patternFill patternType="solid">
          <fgColor rgb="FFF2F2F2"/>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000FF"/>
          <bgColor rgb="FF000000"/>
        </patternFill>
      </fill>
    </dxf>
    <dxf>
      <font>
        <b val="1"/>
        <color rgb="FFC00000"/>
      </font>
    </dxf>
    <dxf>
      <font>
        <b val="1"/>
        <color rgb="FF2E7D32"/>
      </font>
    </dxf>
    <dxf>
      <border>
        <left/>
        <right/>
        <top/>
        <bottom style="thick">
          <color rgb="FFC00000"/>
        </bottom>
        <diagonal/>
      </border>
    </dxf>
    <dxf>
      <fill>
        <patternFill>
          <bgColor rgb="FFF2F2F2"/>
        </patternFill>
      </fill>
    </dxf>
    <dxf>
      <font>
        <b val="1"/>
      </font>
      <fill>
        <patternFill>
          <bgColor rgb="FFFFE699"/>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FCC99"/>
      <rgbColor rgb="FF3366FF"/>
      <rgbColor rgb="FF33CCCC"/>
      <rgbColor rgb="FF99CC00"/>
      <rgbColor rgb="FFFFCC00"/>
      <rgbColor rgb="FFFF9900"/>
      <rgbColor rgb="FFFF6600"/>
      <rgbColor rgb="FF595959"/>
      <rgbColor rgb="FFB3B3B3"/>
      <rgbColor rgb="FF1F3864"/>
      <rgbColor rgb="FF2E7D32"/>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Exposición por riesgo y % acumulado</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'Línea de corte'!C45</f>
              <strCache>
                <ptCount val="1"/>
                <pt idx="0">
                  <v>E (P × I)</v>
                </pt>
              </strCache>
            </strRef>
          </tx>
          <spPr>
            <a:solidFill xmlns:a="http://schemas.openxmlformats.org/drawingml/2006/main">
              <a:srgbClr val="1F3864"/>
            </a:solidFill>
            <a:ln xmlns:a="http://schemas.openxmlformats.org/drawingml/2006/main" w="12600">
              <a:noFill/>
              <a:prstDash val="solid"/>
            </a:ln>
          </spPr>
          <invertIfNegative val="0"/>
          <dLbls>
            <txPr>
              <a:bodyPr xmlns:a="http://schemas.openxmlformats.org/drawingml/2006/main"/>
              <a:lstStyle xmlns:a="http://schemas.openxmlformats.org/drawingml/2006/main"/>
              <a:p xmlns:a="http://schemas.openxmlformats.org/drawingml/2006/main">
                <a:pPr>
                  <a:defRPr sz="1000" b="0" strike="noStrike">
                    <a:uFillTx/>
                    <a:latin typeface="Arial"/>
                  </a:defRPr>
                </a:pPr>
                <a:r>
                  <a:t/>
                </a:r>
              </a:p>
            </txPr>
            <showLegendKey val="0"/>
            <showVal val="0"/>
            <showCatName val="0"/>
            <showSerName val="0"/>
            <showPercent val="0"/>
            <showLeaderLines val="1"/>
          </dLbls>
          <cat>
            <strRef>
              <f>'Línea de corte'!$B$46:$B$68</f>
              <strCache>
                <ptCount val="23"/>
                <pt idx="0">
                  <v>R01</v>
                </pt>
                <pt idx="1">
                  <v>R02</v>
                </pt>
                <pt idx="2">
                  <v>R03</v>
                </pt>
                <pt idx="3">
                  <v>R04</v>
                </pt>
                <pt idx="4">
                  <v>R05</v>
                </pt>
                <pt idx="5">
                  <v>R06</v>
                </pt>
                <pt idx="6">
                  <v>R07</v>
                </pt>
                <pt idx="7">
                  <v>R08</v>
                </pt>
                <pt idx="8">
                  <v>R09</v>
                </pt>
                <pt idx="9">
                  <v>R10</v>
                </pt>
                <pt idx="10">
                  <v>R11</v>
                </pt>
                <pt idx="11">
                  <v>R12</v>
                </pt>
                <pt idx="12">
                  <v>R13</v>
                </pt>
                <pt idx="13">
                  <v>R14</v>
                </pt>
                <pt idx="14">
                  <v>R15</v>
                </pt>
                <pt idx="15">
                  <v>R16</v>
                </pt>
                <pt idx="16">
                  <v>R17</v>
                </pt>
                <pt idx="17">
                  <v>R18</v>
                </pt>
                <pt idx="18">
                  <v>R19</v>
                </pt>
                <pt idx="19">
                  <v>R20</v>
                </pt>
                <pt idx="20">
                  <v>R21</v>
                </pt>
                <pt idx="21">
                  <v>R22</v>
                </pt>
                <pt idx="22">
                  <v>R23</v>
                </pt>
              </strCache>
            </strRef>
          </cat>
          <val>
            <numRef>
              <f>'Línea de corte'!$C$46:$C$68</f>
              <numCache>
                <formatCode>0.0</formatCode>
                <ptCount val="23"/>
                <pt idx="0">
                  <v>1.8</v>
                </pt>
                <pt idx="1">
                  <v>1.8</v>
                </pt>
                <pt idx="2">
                  <v>1.5</v>
                </pt>
                <pt idx="3">
                  <v>1.5</v>
                </pt>
                <pt idx="4">
                  <v>1.5</v>
                </pt>
                <pt idx="5">
                  <v>1.2</v>
                </pt>
                <pt idx="6">
                  <v>1.2</v>
                </pt>
                <pt idx="7">
                  <v>1</v>
                </pt>
                <pt idx="8">
                  <v>1</v>
                </pt>
                <pt idx="9">
                  <v>1</v>
                </pt>
                <pt idx="10">
                  <v>1</v>
                </pt>
                <pt idx="11">
                  <v>1</v>
                </pt>
                <pt idx="12">
                  <v>0.9</v>
                </pt>
                <pt idx="13">
                  <v>0.9</v>
                </pt>
                <pt idx="14">
                  <v>0.8</v>
                </pt>
                <pt idx="15">
                  <v>0.8</v>
                </pt>
                <pt idx="16">
                  <v>0.8</v>
                </pt>
                <pt idx="17">
                  <v>0.8</v>
                </pt>
                <pt idx="18">
                  <v>0.8</v>
                </pt>
                <pt idx="19">
                  <v>0.6</v>
                </pt>
                <pt idx="20">
                  <v>0.6</v>
                </pt>
                <pt idx="21">
                  <v>0.6</v>
                </pt>
                <pt idx="22">
                  <v>0.6</v>
                </pt>
              </numCache>
            </numRef>
          </val>
        </ser>
        <gapWidth val="150"/>
        <overlap val="0"/>
        <axId val="17754960"/>
        <axId val="74383653"/>
      </barChart>
      <lineChart>
        <grouping val="standard"/>
        <varyColors val="0"/>
        <ser>
          <idx val="1"/>
          <order val="1"/>
          <tx>
            <strRef>
              <f>'Línea de corte'!E45</f>
              <strCache>
                <ptCount val="1"/>
                <pt idx="0">
                  <v>% acumulado</v>
                </pt>
              </strCache>
            </strRef>
          </tx>
          <spPr>
            <a:solidFill xmlns:a="http://schemas.openxmlformats.org/drawingml/2006/main">
              <a:srgbClr val="C00000"/>
            </a:solidFill>
            <a:ln xmlns:a="http://schemas.openxmlformats.org/drawingml/2006/main" w="28440">
              <a:solidFill>
                <a:srgbClr val="C00000"/>
              </a:solidFill>
              <a:prstDash val="solid"/>
              <a:round/>
            </a:ln>
          </spPr>
          <marker>
            <symbol val="circle"/>
            <size val="6"/>
            <spPr>
              <a:solidFill xmlns:a="http://schemas.openxmlformats.org/drawingml/2006/main">
                <a:srgbClr val="C00000"/>
              </a:solidFill>
              <a:ln xmlns:a="http://schemas.openxmlformats.org/drawingml/2006/main">
                <a:prstDash val="solid"/>
              </a:ln>
            </spPr>
          </marker>
          <dLbls>
            <txPr>
              <a:bodyPr xmlns:a="http://schemas.openxmlformats.org/drawingml/2006/main"/>
              <a:lstStyle xmlns:a="http://schemas.openxmlformats.org/drawingml/2006/main"/>
              <a:p xmlns:a="http://schemas.openxmlformats.org/drawingml/2006/main">
                <a:pPr>
                  <a:defRPr sz="1000" b="0" strike="noStrike">
                    <a:uFillTx/>
                    <a:latin typeface="Arial"/>
                  </a:defRPr>
                </a:pPr>
                <a:r>
                  <a:t/>
                </a:r>
              </a:p>
            </txPr>
            <showLegendKey val="0"/>
            <showVal val="0"/>
            <showCatName val="0"/>
            <showSerName val="0"/>
            <showPercent val="0"/>
            <showLeaderLines val="1"/>
          </dLbls>
          <cat>
            <strRef>
              <f>'Línea de corte'!$B$46:$B$68</f>
              <strCache>
                <ptCount val="23"/>
                <pt idx="0">
                  <v>R01</v>
                </pt>
                <pt idx="1">
                  <v>R02</v>
                </pt>
                <pt idx="2">
                  <v>R03</v>
                </pt>
                <pt idx="3">
                  <v>R04</v>
                </pt>
                <pt idx="4">
                  <v>R05</v>
                </pt>
                <pt idx="5">
                  <v>R06</v>
                </pt>
                <pt idx="6">
                  <v>R07</v>
                </pt>
                <pt idx="7">
                  <v>R08</v>
                </pt>
                <pt idx="8">
                  <v>R09</v>
                </pt>
                <pt idx="9">
                  <v>R10</v>
                </pt>
                <pt idx="10">
                  <v>R11</v>
                </pt>
                <pt idx="11">
                  <v>R12</v>
                </pt>
                <pt idx="12">
                  <v>R13</v>
                </pt>
                <pt idx="13">
                  <v>R14</v>
                </pt>
                <pt idx="14">
                  <v>R15</v>
                </pt>
                <pt idx="15">
                  <v>R16</v>
                </pt>
                <pt idx="16">
                  <v>R17</v>
                </pt>
                <pt idx="17">
                  <v>R18</v>
                </pt>
                <pt idx="18">
                  <v>R19</v>
                </pt>
                <pt idx="19">
                  <v>R20</v>
                </pt>
                <pt idx="20">
                  <v>R21</v>
                </pt>
                <pt idx="21">
                  <v>R22</v>
                </pt>
                <pt idx="22">
                  <v>R23</v>
                </pt>
              </strCache>
            </strRef>
          </cat>
          <val>
            <numRef>
              <f>'Línea de corte'!$E$46:$E$68</f>
              <numCache>
                <formatCode>0.0%</formatCode>
                <ptCount val="23"/>
                <pt idx="0">
                  <v>0.0759493670886076</v>
                </pt>
                <pt idx="1">
                  <v>0.151898734177215</v>
                </pt>
                <pt idx="2">
                  <v>0.215189873417721</v>
                </pt>
                <pt idx="3">
                  <v>0.278481012658228</v>
                </pt>
                <pt idx="4">
                  <v>0.341772151898734</v>
                </pt>
                <pt idx="5">
                  <v>0.392405063291139</v>
                </pt>
                <pt idx="6">
                  <v>0.443037974683544</v>
                </pt>
                <pt idx="7">
                  <v>0.485232067510549</v>
                </pt>
                <pt idx="8">
                  <v>0.527426160337553</v>
                </pt>
                <pt idx="9">
                  <v>0.569620253164557</v>
                </pt>
                <pt idx="10">
                  <v>0.611814345991561</v>
                </pt>
                <pt idx="11">
                  <v>0.654008438818565</v>
                </pt>
                <pt idx="12">
                  <v>0.691983122362869</v>
                </pt>
                <pt idx="13">
                  <v>0.729957805907173</v>
                </pt>
                <pt idx="14">
                  <v>0.763713080168776</v>
                </pt>
                <pt idx="15">
                  <v>0.79746835443038</v>
                </pt>
                <pt idx="16">
                  <v>0.831223628691983</v>
                </pt>
                <pt idx="17">
                  <v>0.864978902953586</v>
                </pt>
                <pt idx="18">
                  <v>0.89873417721519</v>
                </pt>
                <pt idx="19">
                  <v>0.924050632911392</v>
                </pt>
                <pt idx="20">
                  <v>0.949367088607595</v>
                </pt>
                <pt idx="21">
                  <v>0.974683544303797</v>
                </pt>
                <pt idx="22">
                  <v>1</v>
                </pt>
              </numCache>
            </numRef>
          </val>
          <smooth val="0"/>
        </ser>
        <hiLowLines>
          <spPr>
            <a:ln xmlns:a="http://schemas.openxmlformats.org/drawingml/2006/main" w="0">
              <a:noFill/>
              <a:prstDash val="solid"/>
            </a:ln>
          </spPr>
        </hiLowLines>
        <marker val="1"/>
        <axId val="268011"/>
        <axId val="71704285"/>
      </lineChart>
      <catAx>
        <axId val="17754960"/>
        <scaling>
          <orientation val="minMax"/>
        </scaling>
        <delete val="0"/>
        <axPos val="b"/>
        <numFmt formatCode="General" sourceLinked="1"/>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crossAx val="74383653"/>
        <crosses val="autoZero"/>
        <auto val="1"/>
        <lblAlgn val="ctr"/>
        <lblOffset val="100"/>
        <noMultiLvlLbl val="0"/>
      </catAx>
      <valAx>
        <axId val="74383653"/>
        <scaling>
          <orientation val="minMax"/>
          <min val="0"/>
        </scaling>
        <delete val="0"/>
        <axPos val="l"/>
        <title>
          <tx>
            <rich>
              <a:bodyPr xmlns:a="http://schemas.openxmlformats.org/drawingml/2006/main" rot="-5400000"/>
              <a:lstStyle xmlns:a="http://schemas.openxmlformats.org/drawingml/2006/main"/>
              <a:p xmlns:a="http://schemas.openxmlformats.org/drawingml/2006/main">
                <a:pPr>
                  <a:defRPr sz="1300" b="0" strike="noStrike">
                    <a:uFillTx/>
                    <a:latin typeface="Arial"/>
                  </a:defRPr>
                </a:pPr>
                <a:r>
                  <a:rPr sz="1000" b="1" strike="noStrike">
                    <a:solidFill>
                      <a:srgbClr val="000000"/>
                    </a:solidFill>
                    <a:uFillTx/>
                    <a:latin typeface="Calibri"/>
                  </a:rPr>
                  <a:t>E (P × I)</a:t>
                </a:r>
              </a:p>
            </rich>
          </tx>
          <overlay val="0"/>
          <spPr>
            <a:noFill xmlns:a="http://schemas.openxmlformats.org/drawingml/2006/main"/>
            <a:ln xmlns:a="http://schemas.openxmlformats.org/drawingml/2006/main" w="0">
              <a:noFill/>
              <a:prstDash val="solid"/>
            </a:ln>
          </spPr>
        </title>
        <numFmt formatCode="0.0" sourceLinked="1"/>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crossAx val="17754960"/>
        <crosses val="autoZero"/>
        <crossBetween val="between"/>
      </valAx>
      <catAx>
        <axId val="268011"/>
        <scaling>
          <orientation val="minMax"/>
        </scaling>
        <delete val="0"/>
        <axPos val="t"/>
        <numFmt formatCode="General" sourceLinked="1"/>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crossAx val="71704285"/>
        <crosses val="autoZero"/>
        <auto val="1"/>
        <lblAlgn val="ctr"/>
        <lblOffset val="100"/>
        <noMultiLvlLbl val="0"/>
      </catAx>
      <valAx>
        <axId val="71704285"/>
        <scaling>
          <orientation val="minMax"/>
          <max val="1"/>
          <min val="0"/>
        </scaling>
        <delete val="0"/>
        <axPos val="r"/>
        <title>
          <tx>
            <rich>
              <a:bodyPr xmlns:a="http://schemas.openxmlformats.org/drawingml/2006/main" rot="-5400000"/>
              <a:lstStyle xmlns:a="http://schemas.openxmlformats.org/drawingml/2006/main"/>
              <a:p xmlns:a="http://schemas.openxmlformats.org/drawingml/2006/main">
                <a:pPr>
                  <a:defRPr sz="1300" b="0" strike="noStrike">
                    <a:uFillTx/>
                    <a:latin typeface="Arial"/>
                  </a:defRPr>
                </a:pPr>
                <a:r>
                  <a:rPr sz="1000" b="1" strike="noStrike">
                    <a:solidFill>
                      <a:srgbClr val="000000"/>
                    </a:solidFill>
                    <a:uFillTx/>
                    <a:latin typeface="Calibri"/>
                  </a:rPr>
                  <a:t>% acumulado</a:t>
                </a:r>
              </a:p>
            </rich>
          </tx>
          <overlay val="0"/>
          <spPr>
            <a:noFill xmlns:a="http://schemas.openxmlformats.org/drawingml/2006/main"/>
            <a:ln xmlns:a="http://schemas.openxmlformats.org/drawingml/2006/main" w="0">
              <a:noFill/>
              <a:prstDash val="solid"/>
            </a:ln>
          </spPr>
        </title>
        <numFmt formatCode="0%" sourceLinked="0"/>
        <majorTickMark val="none"/>
        <minorTickMark val="none"/>
        <tickLblPos val="nextTo"/>
        <spPr>
          <a:ln xmlns:a="http://schemas.openxmlformats.org/drawingml/2006/main" w="0">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crossAx val="268011"/>
        <crosses val="max"/>
        <crossBetween val="between"/>
      </valAx>
    </plotArea>
    <legend>
      <legendPos val="b"/>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editAs="oneCell">
    <from>
      <col>0</col>
      <colOff>0</colOff>
      <row>70</row>
      <rowOff>0</rowOff>
    </from>
    <to>
      <col>5</col>
      <colOff>718560</colOff>
      <row>87</row>
      <rowOff>1080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outlinePr summaryBelow="1" summaryRight="1"/>
    <pageSetUpPr fitToPage="0"/>
  </sheetPr>
  <dimension ref="A1:L29"/>
  <sheetViews>
    <sheetView showFormulas="0" showGridLines="1" showRowColHeaders="1" showZeros="1" rightToLeft="0" tabSelected="1" showOutlineSymbols="1" defaultGridColor="1"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B8" activeCellId="0" sqref="B8"/>
    </sheetView>
  </sheetViews>
  <sheetFormatPr baseColWidth="8" defaultColWidth="8.59765625" defaultRowHeight="15" customHeight="0" zeroHeight="0" outlineLevelRow="0"/>
  <cols>
    <col width="7" customWidth="1" style="48" min="1" max="1"/>
    <col width="58" customWidth="1" style="48" min="2" max="2"/>
    <col width="11" customWidth="1" style="48" min="3" max="3"/>
    <col width="8" customWidth="1" style="48" min="4" max="6"/>
    <col width="46" customWidth="1" style="48" min="7" max="7"/>
    <col width="54" customWidth="1" style="48" min="8" max="8"/>
    <col width="46" customWidth="1" style="48" min="9" max="9"/>
    <col width="42" customWidth="1" style="48" min="10" max="10"/>
    <col width="20" customWidth="1" style="48" min="11" max="11"/>
    <col width="12" customWidth="1" style="48" min="12" max="12"/>
    <col width="10.16" customWidth="1" style="48" min="16382" max="16384"/>
  </cols>
  <sheetData>
    <row r="1" ht="36" customHeight="1" s="49">
      <c r="A1" s="50" t="inlineStr">
        <is>
          <t>ID</t>
        </is>
      </c>
      <c r="B1" s="50" t="inlineStr">
        <is>
          <t>Riesgo (dado que… puede ocurrir que…)</t>
        </is>
      </c>
      <c r="C1" s="50" t="inlineStr">
        <is>
          <t>Categoría</t>
        </is>
      </c>
      <c r="D1" s="50" t="inlineStr">
        <is>
          <t>P</t>
        </is>
      </c>
      <c r="E1" s="50" t="inlineStr">
        <is>
          <t>I</t>
        </is>
      </c>
      <c r="F1" s="50" t="inlineStr">
        <is>
          <t>E</t>
        </is>
      </c>
      <c r="G1" s="50" t="inlineStr">
        <is>
          <t>Justificación de P e I</t>
        </is>
      </c>
      <c r="H1" s="50" t="inlineStr">
        <is>
          <t>Mitigación (reducción)</t>
        </is>
      </c>
      <c r="I1" s="50" t="inlineStr">
        <is>
          <t>Contingencia</t>
        </is>
      </c>
      <c r="J1" s="50" t="inlineStr">
        <is>
          <t>Disparador</t>
        </is>
      </c>
      <c r="K1" s="50" t="inlineStr">
        <is>
          <t>Responsable</t>
        </is>
      </c>
      <c r="L1" s="50" t="inlineStr">
        <is>
          <t>Gestión</t>
        </is>
      </c>
    </row>
    <row r="2" ht="84.75" customHeight="1" s="49">
      <c r="A2" s="51" t="inlineStr">
        <is>
          <t>R01</t>
        </is>
      </c>
      <c r="B2" s="52" t="inlineStr">
        <is>
          <t>Dado que cada módulo tiene un único responsable, los seis integrantes trabajan y los sprints de implementación duran una semana, puede ocurrir que una semana de poca disponibilidad deje un módulo sin avanzar y haya que recortar HU de ese módulo antes del 15/11.</t>
        </is>
      </c>
      <c r="C2" s="53" t="inlineStr">
        <is>
          <t>Proyecto</t>
        </is>
      </c>
      <c r="D2" s="54" t="n">
        <v>0.6</v>
      </c>
      <c r="E2" s="55" t="n">
        <v>3</v>
      </c>
      <c r="F2" s="56">
        <f>D2*E2</f>
        <v/>
      </c>
      <c r="G2" s="52" t="inlineStr">
        <is>
          <t>P: el Sprint 0 ya cerró después de G0 (07/10) y no hay margen entre sprints. Impacto: perder una de las tres semanas de implementación de un módulo equivale a una semana de trabajo de una persona.</t>
        </is>
      </c>
      <c r="H2" s="52" t="inlineStr">
        <is>
          <t>Cada responsable declara su disponibilidad en la daily de inicio de sprint (2 min). Cada módulo define de antemano su mínimo viable (ABM y flujo principal) y deja listados y reporte para el final. Las specs de las HU quedan listas en el Sprint 1 para que el agente implemente sin esperar.</t>
        </is>
      </c>
      <c r="I2" s="52" t="inlineStr">
        <is>
          <t>Se recortan primero las HU de prioridad baja del módulo afectado y otro integrante con carga liviana toma la HU crítica con apoyo del agente.</t>
        </is>
      </c>
      <c r="J2" s="52" t="inlineStr">
        <is>
          <t>Al cierre del Sprint 2 (28/10) un módulo no tiene sus ABM en Done, o una persona avisa que no podrá dedicar el sprint.</t>
        </is>
      </c>
      <c r="K2" s="52" t="inlineStr">
        <is>
          <t>Franco Martín Soler</t>
        </is>
      </c>
      <c r="L2" s="53" t="inlineStr">
        <is>
          <t>Activa</t>
        </is>
      </c>
    </row>
    <row r="3" ht="84.75" customHeight="1" s="49">
      <c r="A3" s="51" t="inlineStr">
        <is>
          <t>R02</t>
        </is>
      </c>
      <c r="B3" s="52" t="inlineStr">
        <is>
          <t>Dado que los PR generados por agentes de IA los revisa otro integrante que también trabaja, puede ocurrir que las revisiones sean superficiales o se demoren y entren a develop defectos que aparezcan recién en las pruebas de integración del Sprint 4.</t>
        </is>
      </c>
      <c r="C3" s="53" t="inlineStr">
        <is>
          <t>Proyecto</t>
        </is>
      </c>
      <c r="D3" s="54" t="n">
        <v>0.6</v>
      </c>
      <c r="E3" s="55" t="n">
        <v>3</v>
      </c>
      <c r="F3" s="56">
        <f>D3*E3</f>
        <v/>
      </c>
      <c r="G3" s="52" t="inlineStr">
        <is>
          <t>P: seis PR por sprint de una semana y revisores con poco tiempo; el plan lo lista como riesgo propio del uso de IA. Impacto: un defecto hallado en el Sprint 4 en un flujo compartido (comanda, factura) se corrige con una semana por delante.</t>
        </is>
      </c>
      <c r="H3" s="52" t="inlineStr">
        <is>
          <t>PR chicos (una HU por PR). La CI (lint, tests e import-linter) es condición para mergear, así la revisión humana se centra en la lógica. Checklist de 5 puntos en la plantilla de PR: criterio de aceptación probado, nada no pedido, reglas de capas, nombres y tests. Revisor rotativo.</t>
        </is>
      </c>
      <c r="I3" s="52" t="inlineStr">
        <is>
          <t>Revisión cruzada de 1 hora por módulo al inicio del Sprint 4 sobre los PR ya integrados, priorizando Comanda, Factura y Reserva.</t>
        </is>
      </c>
      <c r="J3" s="52" t="inlineStr">
        <is>
          <t>Un PR lleva más de 24 h sin revisar, se mergea sin ningún comentario sobre la lógica, o aparece en develop un bug de un PR ya integrado.</t>
        </is>
      </c>
      <c r="K3" s="52" t="inlineStr">
        <is>
          <t>Héctor Sánchez</t>
        </is>
      </c>
      <c r="L3" s="53" t="inlineStr">
        <is>
          <t>Activa</t>
        </is>
      </c>
    </row>
    <row r="4" ht="84.75" customHeight="1" s="49">
      <c r="A4" s="51" t="inlineStr">
        <is>
          <t>R03</t>
        </is>
      </c>
      <c r="B4" s="52" t="inlineStr">
        <is>
          <t>Dado que el Sprint 1 junta en dos semanas tareas manuales y documentales (Puntos de Función con 14 factores justificados, estándares, criterios de conformidad, casos de prueba, GitFlow y CI) y el Sprint 0 terminó con atraso, puede ocurrir que el Sprint 1 pase del 21/10 y consuma parte del Sprint 2, que dura una sola semana.</t>
        </is>
      </c>
      <c r="C4" s="53" t="inlineStr">
        <is>
          <t>Proyecto</t>
        </is>
      </c>
      <c r="D4" s="54" t="n">
        <v>0.5</v>
      </c>
      <c r="E4" s="55" t="n">
        <v>3</v>
      </c>
      <c r="F4" s="56">
        <f>D4*E4</f>
        <v/>
      </c>
      <c r="G4" s="52" t="inlineStr">
        <is>
          <t>P: el Sprint 0 cerró después de G0 y el Sprint 1 tiene más tareas que el 0. Impacto: cada día de corrimiento recorta cerca de 5 % de las tres semanas de implementación.</t>
        </is>
      </c>
      <c r="H4" s="52" t="inlineStr">
        <is>
          <t>Priorizar en el Sprint 1 lo que bloquea la implementación (estándares, AGENTS.md, esqueletos y CI). Los Puntos de Función se reparten por módulo con una plantilla única y los 14 factores se discuten una sola vez en grupo. Revisar el avance a mitad de sprint (14/10).</t>
        </is>
      </c>
      <c r="I4" s="52" t="inlineStr">
        <is>
          <t>Pasar al Sprint 2 con lo mínimo (estándares, AGENTS.md, esqueletos, CI) y terminar PF y criterios de conformidad en paralelo durante el Sprint 2.</t>
        </is>
      </c>
      <c r="J4" s="52" t="inlineStr">
        <is>
          <t>El 14/10 menos de la mitad de las tareas del Sprint 1 está en Done, o en G1 (21/10) falta alguna de S1-01 a S1-05.</t>
        </is>
      </c>
      <c r="K4" s="52" t="inlineStr">
        <is>
          <t>Federico Cabaña</t>
        </is>
      </c>
      <c r="L4" s="53" t="inlineStr">
        <is>
          <t>Activa</t>
        </is>
      </c>
    </row>
    <row r="5" ht="71.25" customHeight="1" s="49">
      <c r="A5" s="51" t="inlineStr">
        <is>
          <t>R04</t>
        </is>
      </c>
      <c r="B5" s="52" t="inlineStr">
        <is>
          <t>Dado que Comanda (M4) es la base de Reservas (crear comanda con reserva), de Pagos (factura de la comanda) y de cuatro reportes, puede ocurrir que un atraso de M4 deje a M5 y M6 sin poder probar sus flujos y la integración se acumule en el Sprint 4.</t>
        </is>
      </c>
      <c r="C5" s="53" t="inlineStr">
        <is>
          <t>Proyecto</t>
        </is>
      </c>
      <c r="D5" s="54" t="n">
        <v>0.5</v>
      </c>
      <c r="E5" s="55" t="n">
        <v>3</v>
      </c>
      <c r="F5" s="56">
        <f>D5*E5</f>
        <v/>
      </c>
      <c r="G5" s="52" t="inlineStr">
        <is>
          <t>P: M4 tiene el ciclo de vida más largo (10 RF). Impacto: bloquea dos módulos y cuatro reportes.</t>
        </is>
      </c>
      <c r="H5" s="52" t="inlineStr">
        <is>
          <t>Congelar en el Sprint 1 el contrato de Comanda y DetalleComanda (esquemas y endpoints, ya definidos en el diagrama) y dejar un stub compartido para que M5 y M6 prueben sin esperar. M4 implementa primero crear, cerrar y consultar comanda.</t>
        </is>
      </c>
      <c r="I5" s="52" t="inlineStr">
        <is>
          <t>Otro integrante con carga liviana (M2 o M5) toma las HU secundarias de M4 (listados, modificar) para que M4 se concentre en el flujo crítico.</t>
        </is>
      </c>
      <c r="J5" s="52" t="inlineStr">
        <is>
          <t>Al cierre del Sprint 2 (28/10) Comanda no tiene funcionando crear, cerrar y consultar.</t>
        </is>
      </c>
      <c r="K5" s="52" t="inlineStr">
        <is>
          <t>Juan Ignacio Riquelme</t>
        </is>
      </c>
      <c r="L5" s="53" t="inlineStr">
        <is>
          <t>Activa</t>
        </is>
      </c>
    </row>
    <row r="6" ht="71.25" customHeight="1" s="49">
      <c r="A6" s="51" t="inlineStr">
        <is>
          <t>R05</t>
        </is>
      </c>
      <c r="B6" s="52" t="inlineStr">
        <is>
          <t>Dado que la entrega es el 15/11 y el Sprint 4 concentra reportes, integración entre módulos y correcciones, puede ocurrir que las pruebas de integración se dejen para el final y los defectos hallados no se alcancen a corregir en los 4 días de cierre.</t>
        </is>
      </c>
      <c r="C6" s="53" t="inlineStr">
        <is>
          <t>Proyecto</t>
        </is>
      </c>
      <c r="D6" s="54" t="n">
        <v>0.5</v>
      </c>
      <c r="E6" s="55" t="n">
        <v>3</v>
      </c>
      <c r="F6" s="56">
        <f>D6*E6</f>
        <v/>
      </c>
      <c r="G6" s="52" t="inlineStr">
        <is>
          <t>P: sin semana de colchón después del Sprint 4. Impacto: defectos en flujos centrales sin tiempo de corrección dejan HU obligatorias fallando.</t>
        </is>
      </c>
      <c r="H6" s="52" t="inlineStr">
        <is>
          <t>Cada HU se entrega con sus pruebas en el mismo PR (RNF-MAN-04) y la CI corre la suite completa. En G2 (06/11) se corre un flujo completo reserva → comanda → factura → cobro con datos semilla; en el Sprint 4 solo se corrige.</t>
        </is>
      </c>
      <c r="I6" s="52" t="inlineStr">
        <is>
          <t>Congelar funcionalidad nueva el 08/11 y dedicar el resto del Sprint 4 y el cierre a corregir flujos centrales; los reportes menos críticos se entregan con defectos conocidos documentados.</t>
        </is>
      </c>
      <c r="J6" s="52" t="inlineStr">
        <is>
          <t>En G2 (06/11) el flujo completo no corre de punta a punta, o la cobertura queda bajo el umbral de RNF-MAN-04.</t>
        </is>
      </c>
      <c r="K6" s="52" t="inlineStr">
        <is>
          <t>Giuliano Giannoncelli</t>
        </is>
      </c>
      <c r="L6" s="53" t="inlineStr">
        <is>
          <t>Activa</t>
        </is>
      </c>
    </row>
    <row r="7" ht="84.75" customHeight="1" s="49">
      <c r="A7" s="51" t="inlineStr">
        <is>
          <t>R06</t>
        </is>
      </c>
      <c r="B7" s="52" t="inlineStr">
        <is>
          <t>Dado que la consigna no define varios comportamientos y el equipo los resolvió con supuestos propios, puede ocurrir que en una review o en la entrega la cátedra espere otro comportamiento y haya que cambiar flujos de uno o dos módulos sin tiempo de rehacerlos.</t>
        </is>
      </c>
      <c r="C7" s="53" t="inlineStr">
        <is>
          <t>Negocio</t>
        </is>
      </c>
      <c r="D7" s="54" t="n">
        <v>0.4</v>
      </c>
      <c r="E7" s="55" t="n">
        <v>3</v>
      </c>
      <c r="F7" s="56">
        <f>D7*E7</f>
        <v/>
      </c>
      <c r="G7" s="52" t="inlineStr">
        <is>
          <t>P: solo se detecta cuando un docente lo ve; G1 y G2 son la oportunidad. Impacto: cambiar reglas ya implementadas toca servicio, pruebas y pantalla, y si ocurre en el Sprint 4 no hay tiempo.</t>
        </is>
      </c>
      <c r="H7" s="52" t="inlineStr">
        <is>
          <t>Reunir en un solo documento los supuestos marcados «Supuesto:» en HU, RNF y arquitectura, y llevarlos a G1 (21/10) para que Schanz o Urrutia los confirmen o corrijan (1 h en total).</t>
        </is>
      </c>
      <c r="I7" s="52" t="inlineStr">
        <is>
          <t>Ajustar la regla en el servicio y su prueba de aceptación sin tocar el resto del flujo; si no hay tiempo, documentar el supuesto en el informe de cierre.</t>
        </is>
      </c>
      <c r="J7" s="52" t="inlineStr">
        <is>
          <t>Un docente observa o corrige un supuesto en G1, G2 o la entrega, o dos integrantes interpretan distinto uno de ellos.</t>
        </is>
      </c>
      <c r="K7" s="52" t="inlineStr">
        <is>
          <t>Héctor Sánchez</t>
        </is>
      </c>
      <c r="L7" s="53" t="inlineStr">
        <is>
          <t>Activa</t>
        </is>
      </c>
    </row>
    <row r="8" ht="71.25" customHeight="1" s="49">
      <c r="A8" s="51" t="inlineStr">
        <is>
          <t>R07</t>
        </is>
      </c>
      <c r="B8" s="52" t="inlineStr">
        <is>
          <t>Dado que cada integrante usa un agente y una herramienta distintos (OpenCode, Freebuff, Claude Code), puede ocurrir que cada módulo salga con estructura, estilo y pantallas distintas y la integración del Sprint 4 requiera rehacer código de dos o tres módulos para unificarlos.</t>
        </is>
      </c>
      <c r="C8" s="53" t="inlineStr">
        <is>
          <t>Proyecto</t>
        </is>
      </c>
      <c r="D8" s="54" t="n">
        <v>0.6</v>
      </c>
      <c r="E8" s="55" t="n">
        <v>2</v>
      </c>
      <c r="F8" s="56">
        <f>D8*E8</f>
        <v/>
      </c>
      <c r="G8" s="52" t="inlineStr">
        <is>
          <t>P: el plan lo reconoce como riesgo propio, los riesgos de estilo, UI e integración. Impacto: retrabajo acotado de 2 a 3 días si las reglas se verifican automáticamente.</t>
        </is>
      </c>
      <c r="H8" s="52" t="inlineStr">
        <is>
          <t>AGENTS.md único (S1-03) con estructura, estilo y componentes de UI compartidos, y esqueletos comunes (S1-05). La CI verifica lint, TypeScript strict e import-linter (D-04), así la inconsistencia se detecta en el PR y no en la integración.</t>
        </is>
      </c>
      <c r="I8" s="52" t="inlineStr">
        <is>
          <t>Unificar los componentes de UI repetidos (tablas, formularios, mensajes de error) y mover cada módulo al estilo del esqueleto.</t>
        </is>
      </c>
      <c r="J8" s="52" t="inlineStr">
        <is>
          <t>Dos módulos resuelven el mismo problema de forma distinta (formularios, manejo de errores) o el 21/10 la CI no verifica alguna regla de AGENTS.md.</t>
        </is>
      </c>
      <c r="K8" s="52" t="inlineStr">
        <is>
          <t>Joaquín Cardoso Díaz</t>
        </is>
      </c>
      <c r="L8" s="53" t="inlineStr">
        <is>
          <t>Activa</t>
        </is>
      </c>
    </row>
    <row r="9" ht="25.5" customHeight="1" s="49">
      <c r="A9" s="57" t="n"/>
      <c r="B9" s="57" t="n"/>
      <c r="C9" s="57" t="n"/>
      <c r="D9" s="57" t="n"/>
      <c r="E9" s="57" t="n"/>
      <c r="F9" s="57" t="n"/>
      <c r="G9" s="57" t="n"/>
      <c r="H9" s="57" t="n"/>
      <c r="I9" s="57" t="n"/>
      <c r="J9" s="57" t="n"/>
      <c r="K9" s="57" t="n"/>
      <c r="L9" s="57" t="n"/>
    </row>
    <row r="10" ht="57.75" customHeight="1" s="49">
      <c r="A10" s="58" t="inlineStr">
        <is>
          <t>R08</t>
        </is>
      </c>
      <c r="B10" s="59" t="inlineStr">
        <is>
          <t>Dado que los agentes de IA generan funcionalidad con facilidad, puede ocurrir que implementen requerimientos que la consigna no pide (permisos, ABM extra, filtros) y se gaste tiempo de un sprint de una semana en código que nadie evalúa.</t>
        </is>
      </c>
      <c r="C10" s="60" t="inlineStr">
        <is>
          <t>Proyecto</t>
        </is>
      </c>
      <c r="D10" s="61" t="n">
        <v>0.5</v>
      </c>
      <c r="E10" s="62" t="n">
        <v>2</v>
      </c>
      <c r="F10" s="63">
        <f>D10*E10</f>
        <v/>
      </c>
      <c r="G10" s="59" t="inlineStr">
        <is>
          <t>P: el plan lo lista como riesgo del uso de IA. Impacto: se pierden 2 a 3 días de un módulo, con corrección simple (eliminar lo agregado).</t>
        </is>
      </c>
      <c r="H10" s="59" t="inlineStr">
        <is>
          <t>El checklist de PR incluye «nada que no esté en una HU o en el diagrama» y AGENTS.md prohíbe agregar funcionalidad no pedida. El revisor rechaza código sin criterio que lo respalde.</t>
        </is>
      </c>
      <c r="I10" s="59" t="inlineStr">
        <is>
          <t>Quitar lo extra del PR antes de mergear; si ya entró, revertirlo en un PR chico.</t>
        </is>
      </c>
      <c r="J10" s="59" t="inlineStr">
        <is>
          <t>Un PR agrega endpoints, pantallas o campos que no figuran en ninguna HU ni en el diagrama.</t>
        </is>
      </c>
      <c r="K10" s="59" t="inlineStr">
        <is>
          <t>Federico Cabaña</t>
        </is>
      </c>
      <c r="L10" s="60" t="inlineStr">
        <is>
          <t>Monitoreo</t>
        </is>
      </c>
    </row>
    <row r="11" ht="71.25" customHeight="1" s="49">
      <c r="A11" s="58" t="inlineStr">
        <is>
          <t>R09</t>
        </is>
      </c>
      <c r="B11" s="59" t="inlineStr">
        <is>
          <t>Dado que Producto, Mesa y Comanda las usan otros módulos (Reservas depende de Mesa y Comanda; Menús, Comandas y Facturas dependen de Producto), puede ocurrir que un cambio de atributos después de cerrar el diagrama rompa pruebas y código de los módulos que ya las usan.</t>
        </is>
      </c>
      <c r="C11" s="60" t="inlineStr">
        <is>
          <t>Proyecto</t>
        </is>
      </c>
      <c r="D11" s="61" t="n">
        <v>0.5</v>
      </c>
      <c r="E11" s="62" t="n">
        <v>2</v>
      </c>
      <c r="F11" s="63">
        <f>D11*E11</f>
        <v/>
      </c>
      <c r="G11" s="59" t="inlineStr">
        <is>
          <t>P: el diagrama ya está unificado pero la implementación puede mostrar atributos faltantes. Impacto: con agentes, actualizar tres módulos es retrabajo de 1 a 2 días.</t>
        </is>
      </c>
      <c r="H11" s="59" t="inlineStr">
        <is>
          <t>El diagrama unificado es la fuente: cualquier cambio entra por PR revisado por los dueños de los módulos que usan la clase y se avisa en la daily. Los atributos nuevos se agregan como opcionales.</t>
        </is>
      </c>
      <c r="I11" s="59" t="inlineStr">
        <is>
          <t>Hacer el cambio sin quitar lo existente (atributo nuevo opcional, migración Alembic) y actualizar los módulos afectados en el mismo PR.</t>
        </is>
      </c>
      <c r="J11" s="59" t="inlineStr">
        <is>
          <t>En el Sprint 2 o 3 hace falta agregar, quitar o renombrar un atributo de Producto, Mesa, Comanda o Cliente.</t>
        </is>
      </c>
      <c r="K11" s="59" t="inlineStr">
        <is>
          <t>Joaquín Cardoso Díaz</t>
        </is>
      </c>
      <c r="L11" s="60" t="inlineStr">
        <is>
          <t>Monitoreo</t>
        </is>
      </c>
    </row>
    <row r="12" ht="71.25" customHeight="1" s="49">
      <c r="A12" s="58" t="inlineStr">
        <is>
          <t>R10</t>
        </is>
      </c>
      <c r="B12" s="59" t="inlineStr">
        <is>
          <t>Dado que un producto puede estar en más de una promoción vigente (porcentaje, precio fijo o NxM) y el diagrama no fija una regla de prioridad, puede ocurrir que se aplique un descuento incorrecto o doble al pedir y la comanda y la factura salgan con un importe distinto al esperado.</t>
        </is>
      </c>
      <c r="C12" s="60" t="inlineStr">
        <is>
          <t>Negocio</t>
        </is>
      </c>
      <c r="D12" s="61" t="n">
        <v>0.5</v>
      </c>
      <c r="E12" s="62" t="n">
        <v>2</v>
      </c>
      <c r="F12" s="63">
        <f>D12*E12</f>
        <v/>
      </c>
      <c r="G12" s="59" t="inlineStr">
        <is>
          <t>P: los tres tipos tienen cálculo distinto y la regla de superposición no está decidida. Impacto: importe incorrecto en una comanda, con corrección posible desde la promoción sin rehacer HU.</t>
        </is>
      </c>
      <c r="H12" s="59" t="inlineStr">
        <is>
          <t>Fijar como supuesto que se aplica una sola promoción por producto (la de mayor descuento) y cubrir los tres tipos con casos de prueba, incluida la vigencia por día y hora.</t>
        </is>
      </c>
      <c r="I12" s="59" t="inlineStr">
        <is>
          <t>Finalizar la promoción en conflicto, corregir la función de cálculo y volver a probarla.</t>
        </is>
      </c>
      <c r="J12" s="59" t="inlineStr">
        <is>
          <t>Una prueba de descuento da un importe distinto al calculado a mano, o dos promociones vigentes coinciden sobre el mismo producto.</t>
        </is>
      </c>
      <c r="K12" s="59" t="inlineStr">
        <is>
          <t>Joaquín Cardoso Díaz</t>
        </is>
      </c>
      <c r="L12" s="60" t="inlineStr">
        <is>
          <t>Monitoreo</t>
        </is>
      </c>
    </row>
    <row r="13" ht="84.75" customHeight="1" s="49">
      <c r="A13" s="58" t="inlineStr">
        <is>
          <t>R11</t>
        </is>
      </c>
      <c r="B13" s="59" t="inlineStr">
        <is>
          <t>Dado que el estado de la Mesa lo cambia la Comanda (ocupar al abrirla, liberar al cerrarla o anularla) y que el mozo puede olvidar cerrar una comanda, puede ocurrir que una mesa quede OCUPADA sin que nadie la atienda, no se pueda asignar a nuevas comandas o reservas, y los reportes del turno incluyan comandas sin cerrar.</t>
        </is>
      </c>
      <c r="C13" s="60" t="inlineStr">
        <is>
          <t>Negocio</t>
        </is>
      </c>
      <c r="D13" s="61" t="n">
        <v>0.5</v>
      </c>
      <c r="E13" s="62" t="n">
        <v>2</v>
      </c>
      <c r="F13" s="63">
        <f>D13*E13</f>
        <v/>
      </c>
      <c r="G13" s="59" t="inlineStr">
        <is>
          <t>P: el olvido humano es habitual. Impacto: se resuelve cerrando la comanda a mano, sin afectar otras HU.</t>
        </is>
      </c>
      <c r="H13" s="59" t="inlineStr">
        <is>
          <t>La lógica de ocupar y liberar vive en un único servicio de Mesa que invoca Comanda (no se repite en las pantallas), con pruebas de cerrar y anular. El listado de comandas filtra las ABIERTAS y muestra su antigüedad.</t>
        </is>
      </c>
      <c r="I13" s="59" t="inlineStr">
        <is>
          <t>Cerrar o anular la comanda verificada y liberar la mesa desde la pantalla de Mesas.</t>
        </is>
      </c>
      <c r="J13" s="59" t="inlineStr">
        <is>
          <t>Al cerrar el turno hay una mesa OCUPADA sin comanda ABIERTA, o comandas abiertas hace más de 4 h.</t>
        </is>
      </c>
      <c r="K13" s="59" t="inlineStr">
        <is>
          <t>Juan Ignacio Riquelme</t>
        </is>
      </c>
      <c r="L13" s="60" t="inlineStr">
        <is>
          <t>Monitoreo</t>
        </is>
      </c>
    </row>
    <row r="14" ht="57.75" customHeight="1" s="49">
      <c r="A14" s="58" t="inlineStr">
        <is>
          <t>R12</t>
        </is>
      </c>
      <c r="B14" s="59" t="inlineStr">
        <is>
          <t>Dado que la factura copia precios y descuentos al emitirse y una comanda cerrada puede reabrirse, puede ocurrir que se reabra y modifique una comanda ya facturada y el importe de la comanda deje de coincidir con el de la factura.</t>
        </is>
      </c>
      <c r="C14" s="60" t="inlineStr">
        <is>
          <t>Técnico</t>
        </is>
      </c>
      <c r="D14" s="61" t="n">
        <v>0.5</v>
      </c>
      <c r="E14" s="62" t="n">
        <v>2</v>
      </c>
      <c r="F14" s="63">
        <f>D14*E14</f>
        <v/>
      </c>
      <c r="G14" s="59" t="inlineStr">
        <is>
          <t>P: la consigna no prohíbe reabrir una comanda facturada. Impacto: la diferencia se corrige a mano en datos, sin rehacer HU.</t>
        </is>
      </c>
      <c r="H14" s="59" t="inlineStr">
        <is>
          <t>Regla en el servicio: una comanda con factura no se puede reabrir ni modificar, con prueba en M4 y en M6. Se documenta como supuesto.</t>
        </is>
      </c>
      <c r="I14" s="59" t="inlineStr">
        <is>
          <t>Restaurar el detalle de la comanda desde el detalle de la factura, que conserva precios y descuentos.</t>
        </is>
      </c>
      <c r="J14" s="59" t="inlineStr">
        <is>
          <t>La suma del detalle de una comanda facturada difiere del total de su factura.</t>
        </is>
      </c>
      <c r="K14" s="59" t="inlineStr">
        <is>
          <t>Juan Ignacio Riquelme</t>
        </is>
      </c>
      <c r="L14" s="60" t="inlineStr">
        <is>
          <t>Monitoreo</t>
        </is>
      </c>
    </row>
    <row r="15" ht="71.25" customHeight="1" s="49">
      <c r="A15" s="58" t="inlineStr">
        <is>
          <t>R13</t>
        </is>
      </c>
      <c r="B15" s="59" t="inlineStr">
        <is>
          <t>Dado que la regla «sin otra reserva ACTIVA para la misma mesa, fecha y hora» se valida antes de insertar y SQLite admite una sola escritura a la vez, puede ocurrir que dos solicitudes casi simultáneas pasen la validación y se registre una doble reserva de la mesa.</t>
        </is>
      </c>
      <c r="C15" s="60" t="inlineStr">
        <is>
          <t>Técnico</t>
        </is>
      </c>
      <c r="D15" s="61" t="n">
        <v>0.3</v>
      </c>
      <c r="E15" s="62" t="n">
        <v>3</v>
      </c>
      <c r="F15" s="63">
        <f>D15*E15</f>
        <v/>
      </c>
      <c r="G15" s="59" t="inlineStr">
        <is>
          <t>P: la espera de SQLite (WAL y busy_timeout) reduce la chance, pero validar y luego insertar es un error típico del código generado. Impacto: defecto en una regla central de negocio.</t>
        </is>
      </c>
      <c r="H15" s="59" t="inlineStr">
        <is>
          <t>Validar y crear en una misma transacción corta (D-10) y agregar una restricción única parcial en la base sobre mesa, fecha y hora de las reservas ACTIVAS. Prueba de concurrencia con dos hilos.</t>
        </is>
      </c>
      <c r="I15" s="59" t="inlineStr">
        <is>
          <t>Cancelar una de las dos reservas y reasignar la mesa con la HU Modificar reserva.</t>
        </is>
      </c>
      <c r="J15" s="59" t="inlineStr">
        <is>
          <t>La prueba de dos reservas simultáneas para igual mesa y horario crea ambas, o aparecen dos reservas ACTIVAS iguales en los datos.</t>
        </is>
      </c>
      <c r="K15" s="59" t="inlineStr">
        <is>
          <t>Federico Cabaña</t>
        </is>
      </c>
      <c r="L15" s="60" t="inlineStr">
        <is>
          <t>Monitoreo</t>
        </is>
      </c>
    </row>
    <row r="16" ht="84.75" customHeight="1" s="49">
      <c r="A16" s="58" t="inlineStr">
        <is>
          <t>R14</t>
        </is>
      </c>
      <c r="B16" s="59" t="inlineStr">
        <is>
          <t>Dado que el saldo pendiente baja con cobros parciales, de un medio de pago por cobro y con importes Decimal, puede ocurrir que un error de redondeo o de validación (monto mayor al saldo, saldo mal descontado) deje una factura PAGADA con saldo o ADEUDADA ya cobrada, y la recaudación no coincida con los cobros.</t>
        </is>
      </c>
      <c r="C16" s="60" t="inlineStr">
        <is>
          <t>Técnico</t>
        </is>
      </c>
      <c r="D16" s="61" t="n">
        <v>0.3</v>
      </c>
      <c r="E16" s="62" t="n">
        <v>3</v>
      </c>
      <c r="F16" s="63">
        <f>D16*E16</f>
        <v/>
      </c>
      <c r="G16" s="59" t="inlineStr">
        <is>
          <t>P: el diagrama ya acota el monto (&gt; 0 y ≤ saldoPendiente) y la prueba es sencilla;. Impacto: error de dinero en una regla central.</t>
        </is>
      </c>
      <c r="H16" s="59" t="inlineStr">
        <is>
          <t>Guardar importes con Decimal, validar el monto en el servicio y probar casos de borde: cobro exacto, parcial, último centavo y monto mayor al saldo.</t>
        </is>
      </c>
      <c r="I16" s="59" t="inlineStr">
        <is>
          <t>Corregir saldo y estado de las facturas afectadas con un script revisado por otra persona y regenerar el reporte de recaudación.</t>
        </is>
      </c>
      <c r="J16" s="59" t="inlineStr">
        <is>
          <t>Una prueba deja saldoPendiente distinto de total menos la suma de cobros, o la recaudación del reporte no coincide con la suma de cobros.</t>
        </is>
      </c>
      <c r="K16" s="59" t="inlineStr">
        <is>
          <t>Héctor Sánchez</t>
        </is>
      </c>
      <c r="L16" s="60" t="inlineStr">
        <is>
          <t>Monitoreo</t>
        </is>
      </c>
    </row>
    <row r="17" ht="71.25" customHeight="1" s="49">
      <c r="A17" s="58" t="inlineStr">
        <is>
          <t>R15</t>
        </is>
      </c>
      <c r="B17" s="59" t="inlineStr">
        <is>
          <t>Dado que parte del equipo usa herramientas de IA gratuitas (OpenCode, Freebuff) con cuota de uso limitada, puede ocurrir que la cuota se agote o el servicio falle a mitad de un sprint de una semana y una persona no pueda terminar con el agente sus HU pendientes.</t>
        </is>
      </c>
      <c r="C17" s="60" t="inlineStr">
        <is>
          <t>Proyecto</t>
        </is>
      </c>
      <c r="D17" s="61" t="n">
        <v>0.4</v>
      </c>
      <c r="E17" s="62" t="n">
        <v>2</v>
      </c>
      <c r="F17" s="63">
        <f>D17*E17</f>
        <v/>
      </c>
      <c r="G17" s="59" t="inlineStr">
        <is>
          <t>P: dependencia de herramientas de terceros con límites (plan §5). Impacto: atraso de 1 a 2 días de una persona, recuperable con otra herramienta.</t>
        </is>
      </c>
      <c r="H17" s="59" t="inlineStr">
        <is>
          <t>Las specs y AGENTS.md no dependen de la herramienta; cada integrante identifica de antemano una segunda herramienta de respaldo y no deja la implementación para los últimos días del sprint.</t>
        </is>
      </c>
      <c r="I17" s="59" t="inlineStr">
        <is>
          <t>Pasar a la herramienta de respaldo o dar la HU a otro integrante con cuota; si ninguna alcanza, escribir a mano la HU más simple.</t>
        </is>
      </c>
      <c r="J17" s="59" t="inlineStr">
        <is>
          <t>Un integrante se queda sin cuota o con límite de uso y con HU del sprint sin terminar.</t>
        </is>
      </c>
      <c r="K17" s="59" t="inlineStr">
        <is>
          <t>Giuliano Giannoncelli</t>
        </is>
      </c>
      <c r="L17" s="60" t="inlineStr">
        <is>
          <t>Monitoreo</t>
        </is>
      </c>
    </row>
    <row r="18" ht="71.25" customHeight="1" s="49">
      <c r="A18" s="58" t="inlineStr">
        <is>
          <t>R16</t>
        </is>
      </c>
      <c r="B18" s="59" t="inlineStr">
        <is>
          <t>Dado que seis personas desarrollan en máquinas distintas, puede ocurrir que versiones diferentes de Python, Node o librerías, o bases SQLite con esquemas distintos, hagan que el código funcione en una máquina y falle en otra o en la CI, y se pierdan horas en cada integración.</t>
        </is>
      </c>
      <c r="C18" s="60" t="inlineStr">
        <is>
          <t>Técnico</t>
        </is>
      </c>
      <c r="D18" s="61" t="n">
        <v>0.4</v>
      </c>
      <c r="E18" s="62" t="n">
        <v>2</v>
      </c>
      <c r="F18" s="63">
        <f>D18*E18</f>
        <v/>
      </c>
      <c r="G18" s="59" t="inlineStr">
        <is>
          <t>Impacto: horas perdidas por integración, sin afectar HU.</t>
        </is>
      </c>
      <c r="H18" s="59" t="inlineStr">
        <is>
          <t>Versiones fijadas (requirements con versiones exactas, lockfile de npm, .python-version y .nvmrc), base de datos fuera del repositorio y creada desde cero con las migraciones Alembic (RNF-MAN-06). La CI es la referencia.</t>
        </is>
      </c>
      <c r="I18" s="59" t="inlineStr">
        <is>
          <t>Quien detecta la diferencia la corrige en el archivo de versiones, avisa en la daily y todos recrean su entorno (30 min).</t>
        </is>
      </c>
      <c r="J18" s="59" t="inlineStr">
        <is>
          <t>Un PR pasa en la máquina local y falla en la CI por versión de una dependencia o por el esquema de la base.</t>
        </is>
      </c>
      <c r="K18" s="59" t="inlineStr">
        <is>
          <t>Juan Ignacio Riquelme</t>
        </is>
      </c>
      <c r="L18" s="60" t="inlineStr">
        <is>
          <t>Monitoreo</t>
        </is>
      </c>
    </row>
    <row r="19" ht="84.75" customHeight="1" s="49">
      <c r="A19" s="58" t="inlineStr">
        <is>
          <t>R17</t>
        </is>
      </c>
      <c r="B19" s="59" t="inlineStr">
        <is>
          <t>Dado que un producto o una sección puede deshabilitarse mientras está en una promoción, un menú ejecutivo, una comanda abierta o la carta, puede ocurrir que promociones y menús queden con un producto inexistente, que la comanda abierta se invalide o que productos activos desaparezcan de la carta sin que nadie lo note.</t>
        </is>
      </c>
      <c r="C19" s="60" t="inlineStr">
        <is>
          <t>Negocio</t>
        </is>
      </c>
      <c r="D19" s="61" t="n">
        <v>0.4</v>
      </c>
      <c r="E19" s="62" t="n">
        <v>2</v>
      </c>
      <c r="F19" s="63">
        <f>D19*E19</f>
        <v/>
      </c>
      <c r="G19" s="59" t="inlineStr">
        <is>
          <t>Impacto: se corrige rehabilitando o reemplazando, sin rehacer HU.</t>
        </is>
      </c>
      <c r="H19" s="59" t="inlineStr">
        <is>
          <t>Al deshabilitar, mostrar cuántas promociones, menús, comandas abiertas y productos activos quedan afectados y pedir confirmación. La comanda conserva el producto ya pedido porque guarda copia del precio en DetalleComanda.</t>
        </is>
      </c>
      <c r="I19" s="59" t="inlineStr">
        <is>
          <t>Rehabilitar el producto o la sección, o reemplazarlo en la promoción o el menú afectado.</t>
        </is>
      </c>
      <c r="J19" s="59" t="inlineStr">
        <is>
          <t>Un listado de carta, promoción o menú muestra un producto deshabilitado, o un mozo reporta que un producto activo no aparece.</t>
        </is>
      </c>
      <c r="K19" s="59" t="inlineStr">
        <is>
          <t>Franco Martín Soler</t>
        </is>
      </c>
      <c r="L19" s="60" t="inlineStr">
        <is>
          <t>Monitoreo</t>
        </is>
      </c>
    </row>
    <row r="20" ht="84.75" customHeight="1" s="49">
      <c r="A20" s="58" t="inlineStr">
        <is>
          <t>R18</t>
        </is>
      </c>
      <c r="B20" s="59" t="inlineStr">
        <is>
          <t>Dado que el turno (ALMUERZO 12:00–16:00, NOCHE 20:00–00:00) y los reportes por día y franja se calculan desde la fecha y hora de la comanda, puede ocurrir que por guardarla en UTC en vez de hora de Argentina, o por no contemplar empates y comandas fuera de turno, los reportes muestren franjas corridas tres horas o resultados incompletos.</t>
        </is>
      </c>
      <c r="C20" s="60" t="inlineStr">
        <is>
          <t>Técnico</t>
        </is>
      </c>
      <c r="D20" s="61" t="n">
        <v>0.4</v>
      </c>
      <c r="E20" s="62" t="n">
        <v>2</v>
      </c>
      <c r="F20" s="63">
        <f>D20*E20</f>
        <v/>
      </c>
      <c r="G20" s="59" t="inlineStr">
        <is>
          <t>P:  es un error típico con SQLite y datetime. Impacto: se corrige en el cálculo sin tocar los datos.</t>
        </is>
      </c>
      <c r="H20" s="59" t="inlineStr">
        <is>
          <t>Acordar con Juan en el Sprint 1 cómo se guarda fechaHora (hora de Argentina) y escribir las pruebas con casos de borde (11:59 y 12:00, 15:59 y 16:00, 23:59 y 00:00, empates y comandas anuladas) antes de implementar.</t>
        </is>
      </c>
      <c r="I20" s="59" t="inlineStr">
        <is>
          <t>Corregir la conversión en el cálculo del reporte, sin tocar los datos guardados, y volver a generarlo.</t>
        </is>
      </c>
      <c r="J20" s="59" t="inlineStr">
        <is>
          <t>En el Sprint 4 las pruebas del reporte fallan o el turno no coincide con comandas cargadas a mano.</t>
        </is>
      </c>
      <c r="K20" s="59" t="inlineStr">
        <is>
          <t>Franco Martín Soler</t>
        </is>
      </c>
      <c r="L20" s="60" t="inlineStr">
        <is>
          <t>Monitoreo</t>
        </is>
      </c>
    </row>
    <row r="21" ht="71.25" customHeight="1" s="49">
      <c r="A21" s="58" t="inlineStr">
        <is>
          <t>R19</t>
        </is>
      </c>
      <c r="B21" s="59" t="inlineStr">
        <is>
          <t>Dado que los seis reportes se programan en el Sprint 4 y leen datos de otros módulos (comandas, facturas, reservas), puede ocurrir que los cálculos (filtro de fechas, ventas por mozo, ticket promedio, ausentismo) no coincidan con los datos de origen y se descubra con una sola semana de anticipio para finalizar.</t>
        </is>
      </c>
      <c r="C21" s="60" t="inlineStr">
        <is>
          <t>Técnico</t>
        </is>
      </c>
      <c r="D21" s="61" t="n">
        <v>0.4</v>
      </c>
      <c r="E21" s="62" t="n">
        <v>2</v>
      </c>
      <c r="F21" s="63">
        <f>D21*E21</f>
        <v/>
      </c>
      <c r="G21" s="59" t="inlineStr">
        <is>
          <t>P: se estimaron entre 0.2 y 0.4 por reporte; al ser seis y tardíos se lleva a 0.4. Impacto: se corrige la consulta de un reporte, 1 a 2 días.</t>
        </is>
      </c>
      <c r="H21" s="59" t="inlineStr">
        <is>
          <t>Cada responsable escribe en el Sprint 3 un conjunto de datos chico con el resultado esperado calculado a mano y lo usa como prueba de su reporte. Los cálculos se hacen en el servicio, no en la pantalla.</t>
        </is>
      </c>
      <c r="I21" s="59" t="inlineStr">
        <is>
          <t>Corregir la consulta y regenerar; si falta tiempo, entregar el reporte con el filtro mínimo (período) y documentar la limitación.</t>
        </is>
      </c>
      <c r="J21" s="59" t="inlineStr">
        <is>
          <t>La suma del reporte difiere de la suma de los registros de origen del conjunto de datos de prueba.</t>
        </is>
      </c>
      <c r="K21" s="59" t="inlineStr">
        <is>
          <t>Giuliano Giannoncelli</t>
        </is>
      </c>
      <c r="L21" s="60" t="inlineStr">
        <is>
          <t>Monitoreo</t>
        </is>
      </c>
    </row>
    <row r="22" ht="57.75" customHeight="1" s="49">
      <c r="A22" s="58" t="inlineStr">
        <is>
          <t>R20</t>
        </is>
      </c>
      <c r="B22" s="59" t="inlineStr">
        <is>
          <t>Dado que la fecha de entrega del 15/11 sigue «a confirmar con la cátedra», puede ocurrir que se fije una fecha anterior y se acorten el Sprint 4 o el cierre, que ya no tienen colchón.</t>
        </is>
      </c>
      <c r="C22" s="60" t="inlineStr">
        <is>
          <t>Proyecto</t>
        </is>
      </c>
      <c r="D22" s="61" t="n">
        <v>0.2</v>
      </c>
      <c r="E22" s="62" t="n">
        <v>3</v>
      </c>
      <c r="F22" s="63">
        <f>D22*E22</f>
        <v/>
      </c>
      <c r="G22" s="59" t="inlineStr">
        <is>
          <t>P: no hay indicio de cambio, pero tampoco confirmación escrita. Impacto: perder entre 2 y 4 días de un cronograma sin margen.</t>
        </is>
      </c>
      <c r="H22" s="59" t="inlineStr">
        <is>
          <t>Pedir la confirmación por escrito a Schanz o Urrutia en G1 (21/10) y dejar la respuesta en el plan de trabajo.</t>
        </is>
      </c>
      <c r="I22" s="59" t="inlineStr">
        <is>
          <t>Adelantar los entregables que no dependen del código (plantillas de métricas, retrospectiva) y priorizar los flujos centrales.</t>
        </is>
      </c>
      <c r="J22" s="59" t="inlineStr">
        <is>
          <t>La cátedra comunica una fecha anterior al 15/11, o no hay confirmación antes de G2 (06/11).</t>
        </is>
      </c>
      <c r="K22" s="59" t="inlineStr">
        <is>
          <t>Joaquín Cardoso Díaz</t>
        </is>
      </c>
      <c r="L22" s="60" t="inlineStr">
        <is>
          <t>Monitoreo</t>
        </is>
      </c>
    </row>
    <row r="23" ht="71.25" customHeight="1" s="49">
      <c r="A23" s="58" t="inlineStr">
        <is>
          <t>R21</t>
        </is>
      </c>
      <c r="B23" s="59" t="inlineStr">
        <is>
          <t>Dado que la factura se genera junto con su primer cobro y cada comanda se factura una sola vez, puede ocurrir que un doble clic o un reintento genere dos facturas de la misma comanda y la deuda y la recaudación se dupliquen sin forma de anularlas desde el sistema.</t>
        </is>
      </c>
      <c r="C23" s="60" t="inlineStr">
        <is>
          <t>Técnico</t>
        </is>
      </c>
      <c r="D23" s="61" t="n">
        <v>0.2</v>
      </c>
      <c r="E23" s="62" t="n">
        <v>3</v>
      </c>
      <c r="F23" s="63">
        <f>D23*E23</f>
        <v/>
      </c>
      <c r="G23" s="59" t="inlineStr">
        <is>
          <t>P: es un caso conocido y fácil de prevenir. Impacto: error de dinero sin HU para anular la factura. Lavado de dinero (?</t>
        </is>
      </c>
      <c r="H23" s="59" t="inlineStr">
        <is>
          <t>Restricción única en la base sobre la comanda facturada, botón de cobrar deshabilitado mientras se procesa, y el servicio devuelve la factura existente si ya hay una.</t>
        </is>
      </c>
      <c r="I23" s="59" t="inlineStr">
        <is>
          <t>Eliminar la factura duplicada en la base con un script revisado por otra persona y verificar los totales del reporte.</t>
        </is>
      </c>
      <c r="J23" s="59" t="inlineStr">
        <is>
          <t>Aparecen dos facturas para la misma comanda en el listado o en los datos de prueba.</t>
        </is>
      </c>
      <c r="K23" s="59" t="inlineStr">
        <is>
          <t>Héctor Sánchez</t>
        </is>
      </c>
      <c r="L23" s="60" t="inlineStr">
        <is>
          <t>Monitoreo</t>
        </is>
      </c>
    </row>
    <row r="24" ht="71.25" customHeight="1" s="49">
      <c r="A24" s="58" t="inlineStr">
        <is>
          <t>R22</t>
        </is>
      </c>
      <c r="B24" s="59" t="inlineStr">
        <is>
          <t>Dado que un medio de pago puede deshabilitarse o eliminarse (baja lógica) después de usarse en cobros, puede ocurrir que se cobre con un medio deshabilitado o que un cobro histórico pierda el nombre de su medio y el reporte de recaudación por medio quede incompleto.</t>
        </is>
      </c>
      <c r="C24" s="60" t="inlineStr">
        <is>
          <t>Técnico</t>
        </is>
      </c>
      <c r="D24" s="61" t="n">
        <v>0.3</v>
      </c>
      <c r="E24" s="62" t="n">
        <v>2</v>
      </c>
      <c r="F24" s="63">
        <f>D24*E24</f>
        <v/>
      </c>
      <c r="G24" s="59" t="inlineStr">
        <is>
          <t>Impacto: se corrige rehabilitando el medio y regenerando el reporte.</t>
        </is>
      </c>
      <c r="H24" s="59" t="inlineStr">
        <is>
          <t>La baja es siempre lógica (campo eliminado), el cobro valida el estado HABILITADO y el reporte lee también los eliminados. Una prueba por cada caso.</t>
        </is>
      </c>
      <c r="I24" s="59" t="inlineStr">
        <is>
          <t>Rehabilitar el medio, corregir los cobros afectados en datos y regenerar el reporte.</t>
        </is>
      </c>
      <c r="J24" s="59" t="inlineStr">
        <is>
          <t>Un cobro queda registrado con un medio DESHABILITADO, o el reporte omite un medio eliminado.</t>
        </is>
      </c>
      <c r="K24" s="59" t="inlineStr">
        <is>
          <t>Héctor Sánchez</t>
        </is>
      </c>
      <c r="L24" s="60" t="inlineStr">
        <is>
          <t>Monitoreo</t>
        </is>
      </c>
    </row>
    <row r="25" ht="57.75" customHeight="1" s="49">
      <c r="A25" s="58" t="inlineStr">
        <is>
          <t>R23</t>
        </is>
      </c>
      <c r="B25" s="59" t="inlineStr">
        <is>
          <t>Dado que la carta debe mostrar fotos HEIC tomadas con el celular y los navegadores no muestran ese formato, puede ocurrir que la conversión a JPG falle o lleve más de lo previsto y las fotos no se vean en la carta.</t>
        </is>
      </c>
      <c r="C25" s="60" t="inlineStr">
        <is>
          <t>Técnico</t>
        </is>
      </c>
      <c r="D25" s="61" t="n">
        <v>0.3</v>
      </c>
      <c r="E25" s="62" t="n">
        <v>2</v>
      </c>
      <c r="F25" s="63">
        <f>D25*E25</f>
        <v/>
      </c>
      <c r="G25" s="59" t="inlineStr">
        <is>
          <t>Impacto: se puede aceptar solo JPG y PNG sin romper la HU.</t>
        </is>
      </c>
      <c r="H25" s="59" t="inlineStr">
        <is>
          <t>Al construir el alta de producto (Sprint 2), convertir HEIC a JPG en el servidor con una librería y probarlo con fotos reales de iPhone y de Android.</t>
        </is>
      </c>
      <c r="I25" s="59" t="inlineStr">
        <is>
          <t>Convertir la foto en el navegador antes de subirla, o aceptar solo JPG y PNG y documentar HEIC como limitación.</t>
        </is>
      </c>
      <c r="J25" s="59" t="inlineStr">
        <is>
          <t>En las pruebas del Sprint 2 una foto HEIC subida desde el celular no se ve en Chrome o la conversión falla.</t>
        </is>
      </c>
      <c r="K25" s="59" t="inlineStr">
        <is>
          <t>Franco Martín Soler</t>
        </is>
      </c>
      <c r="L25" s="60" t="inlineStr">
        <is>
          <t>Monitoreo</t>
        </is>
      </c>
    </row>
    <row r="27" ht="27.75" customHeight="1" s="49">
      <c r="A27" s="64" t="n"/>
      <c r="B27" s="64" t="n"/>
      <c r="C27" s="64" t="n"/>
      <c r="D27" s="64" t="n"/>
      <c r="E27" s="64" t="n"/>
      <c r="F27" s="64" t="n"/>
      <c r="G27" s="64" t="n"/>
    </row>
    <row r="28" ht="27.75" customHeight="1" s="49">
      <c r="A28" s="64" t="n"/>
      <c r="B28" s="64" t="n"/>
      <c r="C28" s="64" t="n"/>
      <c r="D28" s="64" t="n"/>
      <c r="E28" s="64" t="n"/>
      <c r="F28" s="64" t="n"/>
      <c r="G28" s="64" t="n"/>
    </row>
    <row r="29" ht="27.75" customHeight="1" s="49">
      <c r="A29" s="64" t="n"/>
      <c r="B29" s="64" t="n"/>
      <c r="C29" s="64" t="n"/>
      <c r="D29" s="64" t="n"/>
      <c r="E29" s="64" t="n"/>
      <c r="F29" s="64" t="n"/>
      <c r="G29" s="64" t="n"/>
    </row>
  </sheetData>
  <autoFilter ref="A1:L28"/>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G6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9765625" defaultRowHeight="15" customHeight="0" zeroHeight="0" outlineLevelRow="0"/>
  <cols>
    <col width="54" customWidth="1" style="48" min="1" max="1"/>
    <col width="9" customWidth="1" style="48" min="2" max="2"/>
    <col width="15" customWidth="1" style="48" min="3" max="5"/>
    <col width="14" customWidth="1" style="48" min="6" max="6"/>
    <col width="34" customWidth="1" style="48" min="7" max="7"/>
  </cols>
  <sheetData>
    <row r="1" ht="30" customHeight="1" s="49">
      <c r="A1" s="65" t="inlineStr">
        <is>
          <t>Línea de corte: qué riesgos gestionamos y por qué</t>
        </is>
      </c>
    </row>
    <row r="2" ht="19.5" customHeight="1" s="49">
      <c r="A2" s="64" t="inlineStr">
        <is>
          <t>Esta hoja explica, en orden, cómo se decidió cuántos riesgos se gestionan activamente. Primero el resumen; abajo, los pasos y las cuentas.</t>
        </is>
      </c>
    </row>
    <row r="4" ht="24" customHeight="1" s="49">
      <c r="A4" s="66" t="inlineStr">
        <is>
          <t>RESUMEN</t>
        </is>
      </c>
    </row>
    <row r="5" ht="24" customHeight="1" s="49">
      <c r="A5" s="67" t="inlineStr">
        <is>
          <t>Riesgos identificados</t>
        </is>
      </c>
      <c r="B5" s="68">
        <f>COUNTIF(Riesgos!A:A,"R*")</f>
        <v/>
      </c>
      <c r="C5" s="69" t="n"/>
    </row>
    <row r="6" ht="24" customHeight="1" s="49">
      <c r="A6" s="67" t="inlineStr">
        <is>
          <t>Con gestión activa (arriba de la línea)</t>
        </is>
      </c>
      <c r="B6" s="68">
        <f>COUNTIF(Riesgos!L:L,"Activa")</f>
        <v/>
      </c>
      <c r="C6" s="69" t="n"/>
    </row>
    <row r="7" ht="24" customHeight="1" s="49">
      <c r="A7" s="67" t="inlineStr">
        <is>
          <t>En monitoreo (abajo de la línea)</t>
        </is>
      </c>
      <c r="B7" s="68">
        <f>COUNTIF(Riesgos!L:L,"Monitoreo")</f>
        <v/>
      </c>
      <c r="C7" s="69" t="n"/>
    </row>
    <row r="8" ht="24" customHeight="1" s="49">
      <c r="A8" s="67" t="inlineStr">
        <is>
          <t>Parte de la exposición total que cubren los activos</t>
        </is>
      </c>
      <c r="B8" s="70">
        <f>SUMIF($F$46:$F$68,"Activa",$C$46:$C$68)/$C$69</f>
        <v/>
      </c>
      <c r="C8" s="69" t="n"/>
    </row>
    <row r="9" ht="24" customHeight="1" s="49">
      <c r="A9" s="67" t="inlineStr">
        <is>
          <t>Máximo de riesgos activos que el equipo puede sostener</t>
        </is>
      </c>
      <c r="B9" s="68">
        <f>INT($B$22*$B$25*$B$18/($B$19+$B$20*$B$21))</f>
        <v/>
      </c>
      <c r="C9" s="69" t="n"/>
    </row>
    <row r="11" ht="48" customHeight="1" s="49">
      <c r="A11" s="71">
        <f>"En una frase: gestionamos activamente "&amp;B6&amp;" de los "&amp;B5&amp;" riesgos, los de mayor exposición. Son los que el equipo puede seguir sin quitarle tiempo a la implementación; los otros "&amp;B7&amp;" quedan en monitoreo."</f>
        <v/>
      </c>
    </row>
    <row r="12" ht="43.5" customHeight="1" s="49">
      <c r="A12" s="72" t="inlineStr">
        <is>
          <t>Activo: tiene un responsable que revisa su disparador en cada daily y deja lista la mitigación desde ahora. Monitoreo: tiene su plan escrito, pero solo se mira en cada review de sprint; si se activa su disparador, pasa a activo.</t>
        </is>
      </c>
    </row>
    <row r="13" ht="21.75" customHeight="1" s="49">
      <c r="A13" s="72" t="inlineStr">
        <is>
          <t>Exposición (E) = probabilidad × impacto. Es el número que ordena los riesgos: a mayor E, más conviene gestionarlo.</t>
        </is>
      </c>
    </row>
    <row r="16" ht="24" customHeight="1" s="49">
      <c r="A16" s="66" t="inlineStr">
        <is>
          <t>PASO 1 · ¿Cuántos riesgos puede seguir el equipo?</t>
        </is>
      </c>
    </row>
    <row r="17" ht="43.5" customHeight="1" s="49">
      <c r="A17" s="72" t="inlineStr">
        <is>
          <t>Gestionar un riesgo activamente cuesta horas: preparar su mitigación y su contingencia una vez, y revisar su disparador en cada sprint. Como los seis trabajan, esas horas no pueden quitarle tiempo a la implementación. Los valores azules son supuestos del equipo: si cambian, toda la hoja se recalcula.</t>
        </is>
      </c>
    </row>
    <row r="18" ht="15" customHeight="1" s="49">
      <c r="A18" s="73" t="inlineStr">
        <is>
          <t>Integrantes del equipo</t>
        </is>
      </c>
      <c r="B18" s="74" t="n">
        <v>6</v>
      </c>
      <c r="C18" s="75" t="inlineStr">
        <is>
          <t>Franco, Joaquín, Giuliano, Juan, Federico y Héctor</t>
        </is>
      </c>
    </row>
    <row r="19" ht="15" customHeight="1" s="49">
      <c r="A19" s="73" t="inlineStr">
        <is>
          <t>Horas para preparar cada riesgo (una vez)</t>
        </is>
      </c>
      <c r="B19" s="74" t="n">
        <v>2</v>
      </c>
      <c r="C19" s="75" t="inlineStr">
        <is>
          <t>Supuesto: dejar listas la mitigación y la contingencia</t>
        </is>
      </c>
    </row>
    <row r="20" ht="15" customHeight="1" s="49">
      <c r="A20" s="73" t="inlineStr">
        <is>
          <t>Horas para vigilar cada riesgo, por sprint</t>
        </is>
      </c>
      <c r="B20" s="74" t="n">
        <v>0.5</v>
      </c>
      <c r="C20" s="75" t="inlineStr">
        <is>
          <t>Supuesto: revisar el disparador en la daily y en la review</t>
        </is>
      </c>
    </row>
    <row r="21" ht="15" customHeight="1" s="49">
      <c r="A21" s="73" t="inlineStr">
        <is>
          <t>Sprints que quedan (Sprint 1 a Cierre)</t>
        </is>
      </c>
      <c r="B21" s="74" t="n">
        <v>5</v>
      </c>
      <c r="C21" s="75" t="inlineStr">
        <is>
          <t>Roadmap del plan de trabajo</t>
        </is>
      </c>
    </row>
    <row r="22" ht="15" customHeight="1" s="49">
      <c r="A22" s="73" t="inlineStr">
        <is>
          <t>Tope de horas por persona y por semana</t>
        </is>
      </c>
      <c r="B22" s="74" t="n">
        <v>1.5</v>
      </c>
      <c r="C22" s="75" t="inlineStr">
        <is>
          <t>Supuesto: todos trabajan; el resto del tiempo es para implementar</t>
        </is>
      </c>
    </row>
    <row r="23" ht="15" customHeight="1" s="49">
      <c r="A23" s="73" t="inlineStr">
        <is>
          <t>Fecha de hoy</t>
        </is>
      </c>
      <c r="B23" s="76">
        <f>DATE(2026,10,9)</f>
        <v/>
      </c>
      <c r="C23" s="75" t="n"/>
    </row>
    <row r="24" ht="15" customHeight="1" s="49">
      <c r="A24" s="73" t="inlineStr">
        <is>
          <t>Fecha de entrega</t>
        </is>
      </c>
      <c r="B24" s="76">
        <f>DATE(2026,11,15)</f>
        <v/>
      </c>
      <c r="C24" s="75" t="inlineStr">
        <is>
          <t>15/11/2026, a confirmar con la cátedra</t>
        </is>
      </c>
    </row>
    <row r="25" ht="15" customHeight="1" s="49">
      <c r="A25" s="73" t="inlineStr">
        <is>
          <t>Semanas que quedan</t>
        </is>
      </c>
      <c r="B25" s="77">
        <f>(B24-B23)/7</f>
        <v/>
      </c>
      <c r="C25" s="75" t="inlineStr">
        <is>
          <t>Se calcula con las dos fechas anteriores</t>
        </is>
      </c>
    </row>
    <row r="27" ht="30" customHeight="1" s="49">
      <c r="A27" s="78" t="inlineStr">
        <is>
          <t>¿Cuántos riesgos entran en ese tope? Cada fila supone gestionar esa cantidad de riesgos y calcula cuánto tiempo le pide a cada persona:</t>
        </is>
      </c>
    </row>
    <row r="28" ht="33.75" customHeight="1" s="49">
      <c r="A28" s="79" t="inlineStr">
        <is>
          <t>Si gestionáramos…</t>
        </is>
      </c>
      <c r="B28" s="69" t="n"/>
      <c r="C28" s="79" t="inlineStr">
        <is>
          <t>Horas del equipo hasta el cierre</t>
        </is>
      </c>
      <c r="D28" s="79" t="inlineStr">
        <is>
          <t>Horas por persona</t>
        </is>
      </c>
      <c r="E28" s="79" t="inlineStr">
        <is>
          <t>Horas por persona y por semana</t>
        </is>
      </c>
      <c r="F28" s="79" t="inlineStr">
        <is>
          <t>¿Entra en el tope?</t>
        </is>
      </c>
      <c r="G28" s="79" t="n"/>
    </row>
    <row r="29" ht="15" customHeight="1" s="49">
      <c r="A29" s="80" t="n">
        <v>6</v>
      </c>
      <c r="B29" s="69" t="n"/>
      <c r="C29" s="81">
        <f>A29*($B$19+$B$20*$B$21)</f>
        <v/>
      </c>
      <c r="D29" s="81">
        <f>C29/$B$18</f>
        <v/>
      </c>
      <c r="E29" s="81">
        <f>D29/$B$25</f>
        <v/>
      </c>
      <c r="F29" s="82">
        <f>IF(E29&lt;=$B$22,"Sí","No")</f>
        <v/>
      </c>
    </row>
    <row r="30" ht="15" customHeight="1" s="49">
      <c r="A30" s="80" t="n">
        <v>8</v>
      </c>
      <c r="B30" s="69" t="n"/>
      <c r="C30" s="81">
        <f>A30*($B$19+$B$20*$B$21)</f>
        <v/>
      </c>
      <c r="D30" s="81">
        <f>C30/$B$18</f>
        <v/>
      </c>
      <c r="E30" s="81">
        <f>D30/$B$25</f>
        <v/>
      </c>
      <c r="F30" s="82">
        <f>IF(E30&lt;=$B$22,"Sí","No")</f>
        <v/>
      </c>
    </row>
    <row r="31" ht="15" customHeight="1" s="49">
      <c r="A31" s="80" t="n">
        <v>10</v>
      </c>
      <c r="B31" s="69" t="n"/>
      <c r="C31" s="81">
        <f>A31*($B$19+$B$20*$B$21)</f>
        <v/>
      </c>
      <c r="D31" s="81">
        <f>C31/$B$18</f>
        <v/>
      </c>
      <c r="E31" s="81">
        <f>D31/$B$25</f>
        <v/>
      </c>
      <c r="F31" s="82">
        <f>IF(E31&lt;=$B$22,"Sí","No")</f>
        <v/>
      </c>
    </row>
    <row r="32" ht="15" customHeight="1" s="49">
      <c r="A32" s="80" t="n">
        <v>11</v>
      </c>
      <c r="B32" s="69" t="n"/>
      <c r="C32" s="81">
        <f>A32*($B$19+$B$20*$B$21)</f>
        <v/>
      </c>
      <c r="D32" s="81">
        <f>C32/$B$18</f>
        <v/>
      </c>
      <c r="E32" s="81">
        <f>D32/$B$25</f>
        <v/>
      </c>
      <c r="F32" s="82">
        <f>IF(E32&lt;=$B$22,"Sí","No")</f>
        <v/>
      </c>
    </row>
    <row r="33" ht="15" customHeight="1" s="49">
      <c r="A33" s="80" t="n">
        <v>12</v>
      </c>
      <c r="B33" s="69" t="n"/>
      <c r="C33" s="81">
        <f>A33*($B$19+$B$20*$B$21)</f>
        <v/>
      </c>
      <c r="D33" s="81">
        <f>C33/$B$18</f>
        <v/>
      </c>
      <c r="E33" s="81">
        <f>D33/$B$25</f>
        <v/>
      </c>
      <c r="F33" s="82">
        <f>IF(E33&lt;=$B$22,"Sí","No")</f>
        <v/>
      </c>
    </row>
    <row r="34" ht="15" customHeight="1" s="49">
      <c r="A34" s="80" t="n">
        <v>14</v>
      </c>
      <c r="B34" s="69" t="n"/>
      <c r="C34" s="81">
        <f>A34*($B$19+$B$20*$B$21)</f>
        <v/>
      </c>
      <c r="D34" s="81">
        <f>C34/$B$18</f>
        <v/>
      </c>
      <c r="E34" s="81">
        <f>D34/$B$25</f>
        <v/>
      </c>
      <c r="F34" s="82">
        <f>IF(E34&lt;=$B$22,"Sí","No")</f>
        <v/>
      </c>
    </row>
    <row r="35" ht="15" customHeight="1" s="49">
      <c r="A35" s="80" t="n">
        <v>20</v>
      </c>
      <c r="B35" s="69" t="n"/>
      <c r="C35" s="81">
        <f>A35*($B$19+$B$20*$B$21)</f>
        <v/>
      </c>
      <c r="D35" s="81">
        <f>C35/$B$18</f>
        <v/>
      </c>
      <c r="E35" s="81">
        <f>D35/$B$25</f>
        <v/>
      </c>
      <c r="F35" s="82">
        <f>IF(E35&lt;=$B$22,"Sí","No")</f>
        <v/>
      </c>
    </row>
    <row r="37" ht="24" customHeight="1" s="49">
      <c r="A37" s="66" t="inlineStr">
        <is>
          <t>PASO 2 · ¿Dónde se traza la línea?</t>
        </is>
      </c>
    </row>
    <row r="38" ht="57.75" customHeight="1" s="49">
      <c r="A38" s="72" t="inlineStr">
        <is>
          <t>Con la capacidad del paso 1 entrarían hasta 10 riesgos. Pero la línea no se traza donde "queda lindo": se traza donde termina un grupo de riesgos con la misma exposición, para no separar riesgos que valen lo mismo. En la tabla de abajo, la columna «Cambio respecto del anterior» muestra esos escalones: cada vez que E baja, empieza un grupo nuevo. La línea roja queda en el último escalón que cabe dentro de la capacidad.</t>
        </is>
      </c>
    </row>
    <row r="40" ht="24" customHeight="1" s="49">
      <c r="A40" s="66" t="inlineStr">
        <is>
          <t>PASO 3 · ¿Y qué dice Pareto?</t>
        </is>
      </c>
    </row>
    <row r="41" ht="43.5" customHeight="1" s="49">
      <c r="A41" s="72" t="inlineStr">
        <is>
          <t>Pareto es la regla del 80/20: en muchos proyectos, unos pocos riesgos concentran la mayor parte del peligro, y alcanza con gestionar solo esos. Para comprobarlo se suma la exposición de los riesgos de mayor a menor y se mira en qué riesgo se llega al 80 % del total.</t>
        </is>
      </c>
    </row>
    <row r="42" ht="43.5" customHeight="1" s="49">
      <c r="A42" s="72" t="inlineStr">
        <is>
          <t>Cómo leer la tabla: cada fila es un riesgo, del más expuesto al menos expuesto. «E» es probabilidad × impacto. «E acumulada» suma la E de esa fila y las anteriores. «% acumulado» es esa suma sobre el total de todos los riesgos. La línea roja marca el corte entre gestión activa y monitoreo.</t>
        </is>
      </c>
    </row>
    <row r="43" ht="61.5" customHeight="1" s="49">
      <c r="A43" s="78">
        <f>"Resultado: los "&amp;B6&amp;" riesgos activos suman "&amp;TEXT(B8,"0%")&amp;" de la exposición total (celda amarilla: el 80 % recién se alcanza en el riesgo n.º "&amp;(SUMPRODUCT(--(E46:E68&lt;0.8))+1)&amp;" de "&amp;B5&amp;"). Las exposiciones son parejas, así que Pareto no permite achicar la lista: gestionar el 80 % exigiría más riesgos de los que el equipo puede sostener ("&amp;B9&amp;" como máximo). Por eso el corte lo definen la capacidad (paso 1) y los grupos de igual E (paso 2)."</f>
        <v/>
      </c>
    </row>
    <row r="45" ht="33.75" customHeight="1" s="49">
      <c r="A45" s="79" t="inlineStr">
        <is>
          <t>Riesgo</t>
        </is>
      </c>
      <c r="B45" s="79" t="inlineStr">
        <is>
          <t>ID</t>
        </is>
      </c>
      <c r="C45" s="79" t="inlineStr">
        <is>
          <t>E (P × I)</t>
        </is>
      </c>
      <c r="D45" s="79" t="inlineStr">
        <is>
          <t>E acumulada</t>
        </is>
      </c>
      <c r="E45" s="79" t="inlineStr">
        <is>
          <t>% acumulado</t>
        </is>
      </c>
      <c r="F45" s="79" t="inlineStr">
        <is>
          <t>Gestión</t>
        </is>
      </c>
      <c r="G45" s="79" t="inlineStr">
        <is>
          <t>Cambio respecto del anterior</t>
        </is>
      </c>
    </row>
    <row r="46" ht="15" customHeight="1" s="49">
      <c r="A46" s="83" t="inlineStr">
        <is>
          <t>Baja disponibilidad de un responsable de módulo</t>
        </is>
      </c>
      <c r="B46" s="84">
        <f>Riesgos!A2</f>
        <v/>
      </c>
      <c r="C46" s="85">
        <f>Riesgos!F2</f>
        <v/>
      </c>
      <c r="D46" s="85">
        <f>SUM($C$46:C46)</f>
        <v/>
      </c>
      <c r="E46" s="86">
        <f>D46/$C$69</f>
        <v/>
      </c>
      <c r="F46" s="87">
        <f>Riesgos!L2</f>
        <v/>
      </c>
      <c r="G46" s="88" t="n"/>
    </row>
    <row r="47" ht="15" customHeight="1" s="49">
      <c r="A47" s="83" t="inlineStr">
        <is>
          <t>Revisión superficial o tardía de los PR generados con IA</t>
        </is>
      </c>
      <c r="B47" s="84">
        <f>Riesgos!A3</f>
        <v/>
      </c>
      <c r="C47" s="85">
        <f>Riesgos!F3</f>
        <v/>
      </c>
      <c r="D47" s="85">
        <f>SUM($C$46:C47)</f>
        <v/>
      </c>
      <c r="E47" s="86">
        <f>D47/$C$69</f>
        <v/>
      </c>
      <c r="F47" s="87">
        <f>Riesgos!L3</f>
        <v/>
      </c>
      <c r="G47" s="88">
        <f>IF(C46-C47&lt;0.001,"","baja "&amp;ROUND(C46-C47,1)&amp;" · empieza otro grupo")</f>
        <v/>
      </c>
    </row>
    <row r="48" ht="15" customHeight="1" s="49">
      <c r="A48" s="83" t="inlineStr">
        <is>
          <t>Sprint 1 sobrecargado de tareas manuales y documentales</t>
        </is>
      </c>
      <c r="B48" s="84">
        <f>Riesgos!A4</f>
        <v/>
      </c>
      <c r="C48" s="85">
        <f>Riesgos!F4</f>
        <v/>
      </c>
      <c r="D48" s="85">
        <f>SUM($C$46:C48)</f>
        <v/>
      </c>
      <c r="E48" s="86">
        <f>D48/$C$69</f>
        <v/>
      </c>
      <c r="F48" s="87">
        <f>Riesgos!L4</f>
        <v/>
      </c>
      <c r="G48" s="88">
        <f>IF(C47-C48&lt;0.001,"","baja "&amp;ROUND(C47-C48,1)&amp;" · empieza otro grupo")</f>
        <v/>
      </c>
    </row>
    <row r="49" ht="15" customHeight="1" s="49">
      <c r="A49" s="83" t="inlineStr">
        <is>
          <t>Atraso de Comanda (M4) bloquea Reservas, Pagos y reportes</t>
        </is>
      </c>
      <c r="B49" s="84">
        <f>Riesgos!A5</f>
        <v/>
      </c>
      <c r="C49" s="85">
        <f>Riesgos!F5</f>
        <v/>
      </c>
      <c r="D49" s="85">
        <f>SUM($C$46:C49)</f>
        <v/>
      </c>
      <c r="E49" s="86">
        <f>D49/$C$69</f>
        <v/>
      </c>
      <c r="F49" s="87">
        <f>Riesgos!L5</f>
        <v/>
      </c>
      <c r="G49" s="88">
        <f>IF(C48-C49&lt;0.001,"","baja "&amp;ROUND(C48-C49,1)&amp;" · empieza otro grupo")</f>
        <v/>
      </c>
    </row>
    <row r="50" ht="15" customHeight="1" s="49">
      <c r="A50" s="83" t="inlineStr">
        <is>
          <t>Pruebas de integración tardías antes del 15/11</t>
        </is>
      </c>
      <c r="B50" s="84">
        <f>Riesgos!A6</f>
        <v/>
      </c>
      <c r="C50" s="85">
        <f>Riesgos!F6</f>
        <v/>
      </c>
      <c r="D50" s="85">
        <f>SUM($C$46:C50)</f>
        <v/>
      </c>
      <c r="E50" s="86">
        <f>D50/$C$69</f>
        <v/>
      </c>
      <c r="F50" s="87">
        <f>Riesgos!L6</f>
        <v/>
      </c>
      <c r="G50" s="88">
        <f>IF(C49-C50&lt;0.001,"","baja "&amp;ROUND(C49-C50,1)&amp;" · empieza otro grupo")</f>
        <v/>
      </c>
    </row>
    <row r="51" ht="15" customHeight="1" s="49">
      <c r="A51" s="83" t="inlineStr">
        <is>
          <t>Supuestos propios que la cátedra no confirma</t>
        </is>
      </c>
      <c r="B51" s="84">
        <f>Riesgos!A7</f>
        <v/>
      </c>
      <c r="C51" s="85">
        <f>Riesgos!F7</f>
        <v/>
      </c>
      <c r="D51" s="85">
        <f>SUM($C$46:C51)</f>
        <v/>
      </c>
      <c r="E51" s="86">
        <f>D51/$C$69</f>
        <v/>
      </c>
      <c r="F51" s="87">
        <f>Riesgos!L7</f>
        <v/>
      </c>
      <c r="G51" s="88">
        <f>IF(C50-C51&lt;0.001,"","baja "&amp;ROUND(C50-C51,1)&amp;" · empieza otro grupo")</f>
        <v/>
      </c>
    </row>
    <row r="52" ht="15" customHeight="1" s="49">
      <c r="A52" s="83" t="inlineStr">
        <is>
          <t>Código y pantallas inconsistentes entre módulos</t>
        </is>
      </c>
      <c r="B52" s="84">
        <f>Riesgos!A8</f>
        <v/>
      </c>
      <c r="C52" s="85">
        <f>Riesgos!F8</f>
        <v/>
      </c>
      <c r="D52" s="85">
        <f>SUM($C$46:C52)</f>
        <v/>
      </c>
      <c r="E52" s="86">
        <f>D52/$C$69</f>
        <v/>
      </c>
      <c r="F52" s="87">
        <f>Riesgos!L8</f>
        <v/>
      </c>
      <c r="G52" s="88">
        <f>IF(C51-C52&lt;0.001,"","baja "&amp;ROUND(C51-C52,1)&amp;" · empieza otro grupo")</f>
        <v/>
      </c>
    </row>
    <row r="53" ht="15" customHeight="1" s="49">
      <c r="A53" s="83" t="inlineStr">
        <is>
          <t>Funcionalidad que la consigna no pide, agregada por el agente</t>
        </is>
      </c>
      <c r="B53" s="84">
        <f>Riesgos!A10</f>
        <v/>
      </c>
      <c r="C53" s="85">
        <f>Riesgos!F10</f>
        <v/>
      </c>
      <c r="D53" s="85">
        <f>SUM($C$46:C53)</f>
        <v/>
      </c>
      <c r="E53" s="86">
        <f>D53/$C$69</f>
        <v/>
      </c>
      <c r="F53" s="87">
        <f>Riesgos!L10</f>
        <v/>
      </c>
      <c r="G53" s="88">
        <f>IF(C52-C53&lt;0.001,"","baja "&amp;ROUND(C52-C53,1)&amp;" · empieza otro grupo")</f>
        <v/>
      </c>
    </row>
    <row r="54" ht="15" customHeight="1" s="49">
      <c r="A54" s="83" t="inlineStr">
        <is>
          <t>Cambio de atributos en clases compartidas después del diagrama</t>
        </is>
      </c>
      <c r="B54" s="84">
        <f>Riesgos!A11</f>
        <v/>
      </c>
      <c r="C54" s="85">
        <f>Riesgos!F11</f>
        <v/>
      </c>
      <c r="D54" s="85">
        <f>SUM($C$46:C54)</f>
        <v/>
      </c>
      <c r="E54" s="86">
        <f>D54/$C$69</f>
        <v/>
      </c>
      <c r="F54" s="87">
        <f>Riesgos!L11</f>
        <v/>
      </c>
      <c r="G54" s="88">
        <f>IF(C53-C54&lt;0.001,"","baja "&amp;ROUND(C53-C54,1)&amp;" · empieza otro grupo")</f>
        <v/>
      </c>
    </row>
    <row r="55" ht="15" customHeight="1" s="49">
      <c r="A55" s="83" t="inlineStr">
        <is>
          <t>Descuento incorrecto por promociones superpuestas</t>
        </is>
      </c>
      <c r="B55" s="84">
        <f>Riesgos!A12</f>
        <v/>
      </c>
      <c r="C55" s="85">
        <f>Riesgos!F12</f>
        <v/>
      </c>
      <c r="D55" s="85">
        <f>SUM($C$46:C55)</f>
        <v/>
      </c>
      <c r="E55" s="86">
        <f>D55/$C$69</f>
        <v/>
      </c>
      <c r="F55" s="87">
        <f>Riesgos!L12</f>
        <v/>
      </c>
      <c r="G55" s="88">
        <f>IF(C54-C55&lt;0.001,"","baja "&amp;ROUND(C54-C55,1)&amp;" · empieza otro grupo")</f>
        <v/>
      </c>
    </row>
    <row r="56" ht="15" customHeight="1" s="49">
      <c r="A56" s="83" t="inlineStr">
        <is>
          <t>Mesa OCUPADA sin atención real</t>
        </is>
      </c>
      <c r="B56" s="84">
        <f>Riesgos!A13</f>
        <v/>
      </c>
      <c r="C56" s="85">
        <f>Riesgos!F13</f>
        <v/>
      </c>
      <c r="D56" s="85">
        <f>SUM($C$46:C56)</f>
        <v/>
      </c>
      <c r="E56" s="86">
        <f>D56/$C$69</f>
        <v/>
      </c>
      <c r="F56" s="87">
        <f>Riesgos!L13</f>
        <v/>
      </c>
      <c r="G56" s="88">
        <f>IF(C55-C56&lt;0.001,"","baja "&amp;ROUND(C55-C56,1)&amp;" · empieza otro grupo")</f>
        <v/>
      </c>
    </row>
    <row r="57" ht="15" customHeight="1" s="49">
      <c r="A57" s="83" t="inlineStr">
        <is>
          <t>Comanda reabierta después de facturada</t>
        </is>
      </c>
      <c r="B57" s="84">
        <f>Riesgos!A14</f>
        <v/>
      </c>
      <c r="C57" s="85">
        <f>Riesgos!F14</f>
        <v/>
      </c>
      <c r="D57" s="85">
        <f>SUM($C$46:C57)</f>
        <v/>
      </c>
      <c r="E57" s="86">
        <f>D57/$C$69</f>
        <v/>
      </c>
      <c r="F57" s="87">
        <f>Riesgos!L14</f>
        <v/>
      </c>
      <c r="G57" s="88">
        <f>IF(C56-C57&lt;0.001,"","baja "&amp;ROUND(C56-C57,1)&amp;" · empieza otro grupo")</f>
        <v/>
      </c>
    </row>
    <row r="58" ht="15" customHeight="1" s="49">
      <c r="A58" s="83" t="inlineStr">
        <is>
          <t>Doble reserva de la misma mesa</t>
        </is>
      </c>
      <c r="B58" s="84">
        <f>Riesgos!A15</f>
        <v/>
      </c>
      <c r="C58" s="85">
        <f>Riesgos!F15</f>
        <v/>
      </c>
      <c r="D58" s="85">
        <f>SUM($C$46:C58)</f>
        <v/>
      </c>
      <c r="E58" s="86">
        <f>D58/$C$69</f>
        <v/>
      </c>
      <c r="F58" s="87">
        <f>Riesgos!L15</f>
        <v/>
      </c>
      <c r="G58" s="88">
        <f>IF(C57-C58&lt;0.001,"","baja "&amp;ROUND(C57-C58,1)&amp;" · empieza otro grupo")</f>
        <v/>
      </c>
    </row>
    <row r="59" ht="15" customHeight="1" s="49">
      <c r="A59" s="83" t="inlineStr">
        <is>
          <t>Saldo o monto de cobro incorrecto</t>
        </is>
      </c>
      <c r="B59" s="84">
        <f>Riesgos!A16</f>
        <v/>
      </c>
      <c r="C59" s="85">
        <f>Riesgos!F16</f>
        <v/>
      </c>
      <c r="D59" s="85">
        <f>SUM($C$46:C59)</f>
        <v/>
      </c>
      <c r="E59" s="86">
        <f>D59/$C$69</f>
        <v/>
      </c>
      <c r="F59" s="87">
        <f>Riesgos!L16</f>
        <v/>
      </c>
      <c r="G59" s="88">
        <f>IF(C58-C59&lt;0.001,"","baja "&amp;ROUND(C58-C59,1)&amp;" · empieza otro grupo")</f>
        <v/>
      </c>
    </row>
    <row r="60" ht="15" customHeight="1" s="49">
      <c r="A60" s="83" t="inlineStr">
        <is>
          <t>Cuota de IA gratuita agotada a mitad de sprint</t>
        </is>
      </c>
      <c r="B60" s="84">
        <f>Riesgos!A17</f>
        <v/>
      </c>
      <c r="C60" s="85">
        <f>Riesgos!F17</f>
        <v/>
      </c>
      <c r="D60" s="85">
        <f>SUM($C$46:C60)</f>
        <v/>
      </c>
      <c r="E60" s="86">
        <f>D60/$C$69</f>
        <v/>
      </c>
      <c r="F60" s="87">
        <f>Riesgos!L17</f>
        <v/>
      </c>
      <c r="G60" s="88">
        <f>IF(C59-C60&lt;0.001,"","baja "&amp;ROUND(C59-C60,1)&amp;" · empieza otro grupo")</f>
        <v/>
      </c>
    </row>
    <row r="61" ht="15" customHeight="1" s="49">
      <c r="A61" s="83" t="inlineStr">
        <is>
          <t>Entornos locales distintos entre integrantes</t>
        </is>
      </c>
      <c r="B61" s="84">
        <f>Riesgos!A18</f>
        <v/>
      </c>
      <c r="C61" s="85">
        <f>Riesgos!F18</f>
        <v/>
      </c>
      <c r="D61" s="85">
        <f>SUM($C$46:C61)</f>
        <v/>
      </c>
      <c r="E61" s="86">
        <f>D61/$C$69</f>
        <v/>
      </c>
      <c r="F61" s="87">
        <f>Riesgos!L18</f>
        <v/>
      </c>
      <c r="G61" s="88">
        <f>IF(C60-C61&lt;0.001,"","baja "&amp;ROUND(C60-C61,1)&amp;" · empieza otro grupo")</f>
        <v/>
      </c>
    </row>
    <row r="62" ht="15" customHeight="1" s="49">
      <c r="A62" s="83" t="inlineStr">
        <is>
          <t>Baja de producto o sección que está en uso</t>
        </is>
      </c>
      <c r="B62" s="84">
        <f>Riesgos!A19</f>
        <v/>
      </c>
      <c r="C62" s="85">
        <f>Riesgos!F19</f>
        <v/>
      </c>
      <c r="D62" s="85">
        <f>SUM($C$46:C62)</f>
        <v/>
      </c>
      <c r="E62" s="86">
        <f>D62/$C$69</f>
        <v/>
      </c>
      <c r="F62" s="87">
        <f>Riesgos!L19</f>
        <v/>
      </c>
      <c r="G62" s="88">
        <f>IF(C61-C62&lt;0.001,"","baja "&amp;ROUND(C61-C62,1)&amp;" · empieza otro grupo")</f>
        <v/>
      </c>
    </row>
    <row r="63" ht="15" customHeight="1" s="49">
      <c r="A63" s="83" t="inlineStr">
        <is>
          <t>Turno y franja horaria mal calculados en los reportes</t>
        </is>
      </c>
      <c r="B63" s="84">
        <f>Riesgos!A20</f>
        <v/>
      </c>
      <c r="C63" s="85">
        <f>Riesgos!F20</f>
        <v/>
      </c>
      <c r="D63" s="85">
        <f>SUM($C$46:C63)</f>
        <v/>
      </c>
      <c r="E63" s="86">
        <f>D63/$C$69</f>
        <v/>
      </c>
      <c r="F63" s="87">
        <f>Riesgos!L20</f>
        <v/>
      </c>
      <c r="G63" s="88">
        <f>IF(C62-C63&lt;0.001,"","baja "&amp;ROUND(C62-C63,1)&amp;" · empieza otro grupo")</f>
        <v/>
      </c>
    </row>
    <row r="64" ht="15" customHeight="1" s="49">
      <c r="A64" s="83" t="inlineStr">
        <is>
          <t>Reportes con resultados que no coinciden con los datos</t>
        </is>
      </c>
      <c r="B64" s="84">
        <f>Riesgos!A21</f>
        <v/>
      </c>
      <c r="C64" s="85">
        <f>Riesgos!F21</f>
        <v/>
      </c>
      <c r="D64" s="85">
        <f>SUM($C$46:C64)</f>
        <v/>
      </c>
      <c r="E64" s="86">
        <f>D64/$C$69</f>
        <v/>
      </c>
      <c r="F64" s="87">
        <f>Riesgos!L21</f>
        <v/>
      </c>
      <c r="G64" s="88">
        <f>IF(C63-C64&lt;0.001,"","baja "&amp;ROUND(C63-C64,1)&amp;" · empieza otro grupo")</f>
        <v/>
      </c>
    </row>
    <row r="65" ht="15" customHeight="1" s="49">
      <c r="A65" s="83" t="inlineStr">
        <is>
          <t>Fecha de entrega del 15/11 sin confirmar</t>
        </is>
      </c>
      <c r="B65" s="84">
        <f>Riesgos!A22</f>
        <v/>
      </c>
      <c r="C65" s="85">
        <f>Riesgos!F22</f>
        <v/>
      </c>
      <c r="D65" s="85">
        <f>SUM($C$46:C65)</f>
        <v/>
      </c>
      <c r="E65" s="86">
        <f>D65/$C$69</f>
        <v/>
      </c>
      <c r="F65" s="87">
        <f>Riesgos!L22</f>
        <v/>
      </c>
      <c r="G65" s="88">
        <f>IF(C64-C65&lt;0.001,"","baja "&amp;ROUND(C64-C65,1)&amp;" · empieza otro grupo")</f>
        <v/>
      </c>
    </row>
    <row r="66" ht="15" customHeight="1" s="49">
      <c r="A66" s="83" t="inlineStr">
        <is>
          <t>Factura duplicada para la misma comanda</t>
        </is>
      </c>
      <c r="B66" s="84">
        <f>Riesgos!A23</f>
        <v/>
      </c>
      <c r="C66" s="85">
        <f>Riesgos!F23</f>
        <v/>
      </c>
      <c r="D66" s="85">
        <f>SUM($C$46:C66)</f>
        <v/>
      </c>
      <c r="E66" s="86">
        <f>D66/$C$69</f>
        <v/>
      </c>
      <c r="F66" s="87">
        <f>Riesgos!L23</f>
        <v/>
      </c>
      <c r="G66" s="88">
        <f>IF(C65-C66&lt;0.001,"","baja "&amp;ROUND(C65-C66,1)&amp;" · empieza otro grupo")</f>
        <v/>
      </c>
    </row>
    <row r="67" ht="15" customHeight="1" s="49">
      <c r="A67" s="83" t="inlineStr">
        <is>
          <t>Cobro con medio de pago deshabilitado o eliminado</t>
        </is>
      </c>
      <c r="B67" s="84">
        <f>Riesgos!A24</f>
        <v/>
      </c>
      <c r="C67" s="85">
        <f>Riesgos!F24</f>
        <v/>
      </c>
      <c r="D67" s="85">
        <f>SUM($C$46:C67)</f>
        <v/>
      </c>
      <c r="E67" s="86">
        <f>D67/$C$69</f>
        <v/>
      </c>
      <c r="F67" s="87">
        <f>Riesgos!L24</f>
        <v/>
      </c>
      <c r="G67" s="88">
        <f>IF(C66-C67&lt;0.001,"","baja "&amp;ROUND(C66-C67,1)&amp;" · empieza otro grupo")</f>
        <v/>
      </c>
    </row>
    <row r="68" ht="15" customHeight="1" s="49">
      <c r="A68" s="83" t="inlineStr">
        <is>
          <t>Fotos HEIC que no se ven en la carta</t>
        </is>
      </c>
      <c r="B68" s="84">
        <f>Riesgos!A25</f>
        <v/>
      </c>
      <c r="C68" s="85">
        <f>Riesgos!F25</f>
        <v/>
      </c>
      <c r="D68" s="85">
        <f>SUM($C$46:C68)</f>
        <v/>
      </c>
      <c r="E68" s="86">
        <f>D68/$C$69</f>
        <v/>
      </c>
      <c r="F68" s="87">
        <f>Riesgos!L25</f>
        <v/>
      </c>
      <c r="G68" s="88">
        <f>IF(C67-C68&lt;0.001,"","baja "&amp;ROUND(C67-C68,1)&amp;" · empieza otro grupo")</f>
        <v/>
      </c>
    </row>
    <row r="69" ht="15" customHeight="1" s="49">
      <c r="A69" s="89" t="inlineStr">
        <is>
          <t>Total</t>
        </is>
      </c>
      <c r="B69" s="90" t="n"/>
      <c r="C69" s="91">
        <f>SUM(C46:C68)</f>
        <v/>
      </c>
      <c r="D69" s="90" t="n"/>
      <c r="E69" s="90" t="n"/>
      <c r="F69" s="90" t="n"/>
      <c r="G69" s="90" t="n"/>
    </row>
  </sheetData>
  <mergeCells count="36">
    <mergeCell ref="A30:B30"/>
    <mergeCell ref="A17:G17"/>
    <mergeCell ref="B7:C7"/>
    <mergeCell ref="C24:G24"/>
    <mergeCell ref="A4:G4"/>
    <mergeCell ref="A38:G38"/>
    <mergeCell ref="A43:G43"/>
    <mergeCell ref="A13:G13"/>
    <mergeCell ref="C20:G20"/>
    <mergeCell ref="A40:G40"/>
    <mergeCell ref="C25:G25"/>
    <mergeCell ref="C22:G22"/>
    <mergeCell ref="B8:C8"/>
    <mergeCell ref="A11:G11"/>
    <mergeCell ref="A34:B34"/>
    <mergeCell ref="C21:G21"/>
    <mergeCell ref="A1:G1"/>
    <mergeCell ref="A33:B33"/>
    <mergeCell ref="A32:B32"/>
    <mergeCell ref="A16:G16"/>
    <mergeCell ref="C23:G23"/>
    <mergeCell ref="B9:C9"/>
    <mergeCell ref="A41:G41"/>
    <mergeCell ref="A35:B35"/>
    <mergeCell ref="A37:G37"/>
    <mergeCell ref="B6:C6"/>
    <mergeCell ref="A29:B29"/>
    <mergeCell ref="A27:G27"/>
    <mergeCell ref="B5:C5"/>
    <mergeCell ref="A12:G12"/>
    <mergeCell ref="A28:B28"/>
    <mergeCell ref="C19:G19"/>
    <mergeCell ref="A2:G2"/>
    <mergeCell ref="A31:B31"/>
    <mergeCell ref="C18:G18"/>
    <mergeCell ref="A42:G42"/>
  </mergeCells>
  <conditionalFormatting sqref="F29:F35">
    <cfRule type="expression" rank="0" priority="2" equalAverage="0" aboveAverage="0" dxfId="7" text="" percent="0" bottom="0">
      <formula>F29="No"</formula>
    </cfRule>
    <cfRule type="expression" rank="0" priority="3" equalAverage="0" aboveAverage="0" dxfId="8" text="" percent="0" bottom="0">
      <formula>F29="Sí"</formula>
    </cfRule>
  </conditionalFormatting>
  <conditionalFormatting sqref="A46:G68">
    <cfRule type="expression" rank="0" priority="4" equalAverage="0" aboveAverage="0" dxfId="9" text="" percent="0" bottom="0">
      <formula>AND($F46="Activa",$F47="Monitoreo")</formula>
    </cfRule>
    <cfRule type="expression" rank="0" priority="5" equalAverage="0" aboveAverage="0" dxfId="10" text="" percent="0" bottom="0">
      <formula>$F46="Monitoreo"</formula>
    </cfRule>
  </conditionalFormatting>
  <conditionalFormatting sqref="E46:E68">
    <cfRule type="expression" rank="0" priority="6" equalAverage="0" aboveAverage="0" dxfId="11" text="" percent="0" bottom="0">
      <formula>AND(E46&gt;=0.8,OR(ROW()=46,E45&lt;0.8))</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3.xml><?xml version="1.0" encoding="utf-8"?>
<worksheet xmlns="http://schemas.openxmlformats.org/spreadsheetml/2006/main">
  <sheetPr filterMode="0">
    <outlinePr summaryBelow="1" summaryRight="1"/>
    <pageSetUpPr fitToPage="0"/>
  </sheetPr>
  <dimension ref="A1:B1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9765625" defaultRowHeight="15" customHeight="0" zeroHeight="0" outlineLevelRow="0"/>
  <cols>
    <col width="22" customWidth="1" style="48" min="1" max="1"/>
    <col width="110" customWidth="1" style="48" min="2" max="2"/>
  </cols>
  <sheetData>
    <row r="1" ht="36" customHeight="1" s="49">
      <c r="A1" s="50" t="inlineStr">
        <is>
          <t>Valor</t>
        </is>
      </c>
      <c r="B1" s="50" t="inlineStr">
        <is>
          <t>Criterio</t>
        </is>
      </c>
    </row>
    <row r="2" ht="15" customHeight="1" s="49">
      <c r="A2" s="92" t="inlineStr">
        <is>
          <t>IMPACTO (I)</t>
        </is>
      </c>
      <c r="B2" s="93" t="n"/>
    </row>
    <row r="3" ht="30" customHeight="1" s="49">
      <c r="A3" s="78" t="inlineStr">
        <is>
          <t>4 · Catastrófico</t>
        </is>
      </c>
      <c r="B3" s="72" t="inlineStr">
        <is>
          <t>No se entrega el sistema el 15/11, o se rompe un flujo central (comanda → factura → cobro) sin forma de evitarlo.</t>
        </is>
      </c>
    </row>
    <row r="4" ht="30" customHeight="1" s="49">
      <c r="A4" s="78" t="inlineStr">
        <is>
          <t>3 · Crítico</t>
        </is>
      </c>
      <c r="B4" s="72" t="inlineStr">
        <is>
          <t>Se pierde o hay que rehacer cerca de una semana de trabajo de una persona, queda sin entregar una HU obligatoria, o hay un defecto grave en una regla central (dinero, reservas).</t>
        </is>
      </c>
    </row>
    <row r="5" ht="18" customHeight="1" s="49">
      <c r="A5" s="78" t="inlineStr">
        <is>
          <t>2 · Marginal</t>
        </is>
      </c>
      <c r="B5" s="72" t="inlineStr">
        <is>
          <t>Retrabajo de hasta 2 o 3 días, o defecto en una HU con una forma manual simple de resolverlo.</t>
        </is>
      </c>
    </row>
    <row r="6" ht="18" customHeight="1" s="49">
      <c r="A6" s="78" t="inlineStr">
        <is>
          <t>1 · Despreciable</t>
        </is>
      </c>
      <c r="B6" s="72" t="inlineStr">
        <is>
          <t>Retrabajo de horas, sin efecto en la entrega.</t>
        </is>
      </c>
    </row>
    <row r="7" ht="15" customHeight="1" s="49">
      <c r="A7" s="92" t="inlineStr">
        <is>
          <t>PROBABILIDAD (P)</t>
        </is>
      </c>
      <c r="B7" s="93" t="n"/>
    </row>
    <row r="8" ht="18" customHeight="1" s="49">
      <c r="A8" s="78" t="inlineStr">
        <is>
          <t>0,7 o más</t>
        </is>
      </c>
      <c r="B8" s="72" t="inlineStr">
        <is>
          <t>Hay evidencia directa en el proyecto (algo ya pasó, o un documento lo afirma).</t>
        </is>
      </c>
    </row>
    <row r="9" ht="18" customHeight="1" s="49">
      <c r="A9" s="78" t="inlineStr">
        <is>
          <t>0,4 a 0,6</t>
        </is>
      </c>
      <c r="B9" s="72" t="inlineStr">
        <is>
          <t>Es un problema habitual en equipos como este, sin evidencia directa.</t>
        </is>
      </c>
    </row>
    <row r="10" ht="18" customHeight="1" s="49">
      <c r="A10" s="78" t="inlineStr">
        <is>
          <t>0,3 o menos</t>
        </is>
      </c>
      <c r="B10" s="72" t="inlineStr">
        <is>
          <t>Poco probable por las decisiones ya tomadas (RNF, arquitectura, diagrama).</t>
        </is>
      </c>
    </row>
    <row r="11" ht="15" customHeight="1" s="49">
      <c r="A11" s="92" t="inlineStr">
        <is>
          <t>CATEGORÍA</t>
        </is>
      </c>
      <c r="B11" s="93" t="n"/>
    </row>
    <row r="12" ht="18" customHeight="1" s="49">
      <c r="A12" s="78" t="inlineStr">
        <is>
          <t>Proyecto</t>
        </is>
      </c>
      <c r="B12" s="72" t="inlineStr">
        <is>
          <t>Amenaza el plan: cronograma, equipo, uso de IA, integración.</t>
        </is>
      </c>
    </row>
    <row r="13" ht="18" customHeight="1" s="49">
      <c r="A13" s="78" t="inlineStr">
        <is>
          <t>Técnico</t>
        </is>
      </c>
      <c r="B13" s="72" t="inlineStr">
        <is>
          <t>Amenaza el producto: calidad, datos, tecnología elegida.</t>
        </is>
      </c>
    </row>
    <row r="14" ht="18" customHeight="1" s="49">
      <c r="A14" s="78" t="inlineStr">
        <is>
          <t>Negocio</t>
        </is>
      </c>
      <c r="B14" s="72" t="inlineStr">
        <is>
          <t>Amenaza que el sistema cumpla lo que la cátedra y el restaurante simulado esperan.</t>
        </is>
      </c>
    </row>
    <row r="15" ht="15" customHeight="1" s="49">
      <c r="A15" s="92" t="inlineStr">
        <is>
          <t>CONVENCIONES</t>
        </is>
      </c>
      <c r="B15" s="93" t="n"/>
    </row>
    <row r="16" ht="18" customHeight="1" s="49">
      <c r="A16" s="78" t="inlineStr">
        <is>
          <t>E = P × I</t>
        </is>
      </c>
      <c r="B16" s="72" t="inlineStr">
        <is>
          <t>Se ordena la tabla por E descendente; a igual E, primero el de mayor impacto.</t>
        </is>
      </c>
    </row>
    <row r="17" ht="18" customHeight="1" s="49">
      <c r="A17" s="78" t="inlineStr">
        <is>
          <t>Disparador</t>
        </is>
      </c>
      <c r="B17" s="72" t="inlineStr">
        <is>
          <t>Condición observable que activa la contingencia, con fecha o hito cuando se puede.</t>
        </is>
      </c>
    </row>
    <row r="18" ht="18" customHeight="1" s="49">
      <c r="A18" s="78" t="inlineStr">
        <is>
          <t>Responsable</t>
        </is>
      </c>
      <c r="B18" s="72" t="inlineStr">
        <is>
          <t>Integrante del equipo que vigila el disparador y ejecuta la contingencia.</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F3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F20" activeCellId="0" sqref="F20"/>
    </sheetView>
  </sheetViews>
  <sheetFormatPr baseColWidth="8" defaultColWidth="8.59765625" defaultRowHeight="15" customHeight="0" zeroHeight="0" outlineLevelRow="0"/>
  <cols>
    <col width="8" customWidth="1" style="48" min="1" max="1"/>
    <col width="9" customWidth="1" style="48" min="2" max="2"/>
    <col width="52" customWidth="1" style="48" min="3" max="3"/>
    <col width="13" customWidth="1" style="48" min="4" max="4"/>
    <col width="14" customWidth="1" style="48" min="5" max="5"/>
    <col width="70" customWidth="1" style="48" min="6" max="6"/>
  </cols>
  <sheetData>
    <row r="1" ht="36" customHeight="1" s="49">
      <c r="A1" s="50" t="inlineStr">
        <is>
          <t>Fila anterior</t>
        </is>
      </c>
      <c r="B1" s="50" t="inlineStr">
        <is>
          <t>ID anterior</t>
        </is>
      </c>
      <c r="C1" s="50" t="inlineStr">
        <is>
          <t>Riesgo anterior</t>
        </is>
      </c>
      <c r="D1" s="50" t="inlineStr">
        <is>
          <t>Decisión</t>
        </is>
      </c>
      <c r="E1" s="50" t="inlineStr">
        <is>
          <t>ID nuevo</t>
        </is>
      </c>
      <c r="F1" s="50" t="inlineStr">
        <is>
          <t>Motivo o destino</t>
        </is>
      </c>
    </row>
    <row r="2" ht="30.75" customHeight="1" s="49">
      <c r="A2" s="53" t="n">
        <v>2</v>
      </c>
      <c r="B2" s="53" t="inlineStr">
        <is>
          <t>R09</t>
        </is>
      </c>
      <c r="C2" s="52" t="inlineStr">
        <is>
          <t>Capacidad de mesa desincronizada con la realidad</t>
        </is>
      </c>
      <c r="D2" s="53" t="inlineStr">
        <is>
          <t>Descartado</t>
        </is>
      </c>
      <c r="E2" s="53" t="inlineStr">
        <is>
          <t>—</t>
        </is>
      </c>
      <c r="F2" s="52" t="inlineStr">
        <is>
          <t>La reserva no valida capacidad (decisión del diagrama: «sin límite de capacidad») y el responsable «Encargado» no es del equipo.</t>
        </is>
      </c>
    </row>
    <row r="3" ht="18" customHeight="1" s="49">
      <c r="A3" s="53" t="n">
        <v>3</v>
      </c>
      <c r="B3" s="53" t="inlineStr">
        <is>
          <t>R05</t>
        </is>
      </c>
      <c r="C3" s="52" t="inlineStr">
        <is>
          <t>Reservas depende de Mesa y Comanda</t>
        </is>
      </c>
      <c r="D3" s="53" t="inlineStr">
        <is>
          <t>Fusionado</t>
        </is>
      </c>
      <c r="E3" s="53" t="inlineStr">
        <is>
          <t>R09</t>
        </is>
      </c>
      <c r="F3" s="52" t="inlineStr">
        <is>
          <t>Cambio de atributos en clases compartidas después del diagrama</t>
        </is>
      </c>
    </row>
    <row r="4" ht="30.75" customHeight="1" s="49">
      <c r="A4" s="53" t="n">
        <v>4</v>
      </c>
      <c r="B4" s="53" t="inlineStr">
        <is>
          <t>R07</t>
        </is>
      </c>
      <c r="C4" s="52" t="inlineStr">
        <is>
          <t>¿La reserva requiere Cliente registrado?</t>
        </is>
      </c>
      <c r="D4" s="53" t="inlineStr">
        <is>
          <t>Resuelto</t>
        </is>
      </c>
      <c r="E4" s="53" t="inlineStr">
        <is>
          <t>—</t>
        </is>
      </c>
      <c r="F4" s="52" t="inlineStr">
        <is>
          <t>El diagrama lo definió: el cliente se crea junto con su primera reserva (Cliente 1..* Reserva).</t>
        </is>
      </c>
    </row>
    <row r="5" ht="18" customHeight="1" s="49">
      <c r="A5" s="53" t="n">
        <v>5</v>
      </c>
      <c r="B5" s="53" t="inlineStr">
        <is>
          <t>R22</t>
        </is>
      </c>
      <c r="C5" s="52" t="inlineStr">
        <is>
          <t>Superposición de responsabilidades entre integrantes</t>
        </is>
      </c>
      <c r="D5" s="53" t="inlineStr">
        <is>
          <t>Fusionado</t>
        </is>
      </c>
      <c r="E5" s="53" t="inlineStr">
        <is>
          <t>R07</t>
        </is>
      </c>
      <c r="F5" s="52" t="inlineStr">
        <is>
          <t>Código y pantallas inconsistentes entre módulos</t>
        </is>
      </c>
    </row>
    <row r="6" ht="18" customHeight="1" s="49">
      <c r="A6" s="53" t="n">
        <v>6</v>
      </c>
      <c r="B6" s="53" t="inlineStr">
        <is>
          <t>R24</t>
        </is>
      </c>
      <c r="C6" s="52" t="inlineStr">
        <is>
          <t>Falta de estandarización de interfaces</t>
        </is>
      </c>
      <c r="D6" s="53" t="inlineStr">
        <is>
          <t>Fusionado</t>
        </is>
      </c>
      <c r="E6" s="53" t="inlineStr">
        <is>
          <t>R07</t>
        </is>
      </c>
      <c r="F6" s="52" t="inlineStr">
        <is>
          <t>Código y pantallas inconsistentes entre módulos</t>
        </is>
      </c>
    </row>
    <row r="7" ht="18" customHeight="1" s="49">
      <c r="A7" s="53" t="n">
        <v>7</v>
      </c>
      <c r="B7" s="53" t="inlineStr">
        <is>
          <t>R01</t>
        </is>
      </c>
      <c r="C7" s="52" t="inlineStr">
        <is>
          <t>Atraso de comandas bloquea Reservas y Pagos</t>
        </is>
      </c>
      <c r="D7" s="53" t="inlineStr">
        <is>
          <t>Reformulado</t>
        </is>
      </c>
      <c r="E7" s="53" t="inlineStr">
        <is>
          <t>R04</t>
        </is>
      </c>
      <c r="F7" s="52" t="inlineStr">
        <is>
          <t>Atraso de Comanda (M4) bloquea Reservas, Pagos y reportes</t>
        </is>
      </c>
    </row>
    <row r="8" ht="18" customHeight="1" s="49">
      <c r="A8" s="53" t="n">
        <v>8</v>
      </c>
      <c r="B8" s="53" t="inlineStr">
        <is>
          <t>R04</t>
        </is>
      </c>
      <c r="C8" s="52" t="inlineStr">
        <is>
          <t>Supuesto de mesa asignada manualmente</t>
        </is>
      </c>
      <c r="D8" s="53" t="inlineStr">
        <is>
          <t>Fusionado</t>
        </is>
      </c>
      <c r="E8" s="53" t="inlineStr">
        <is>
          <t>R06</t>
        </is>
      </c>
      <c r="F8" s="52" t="inlineStr">
        <is>
          <t>Supuestos propios que la cátedra no confirma</t>
        </is>
      </c>
    </row>
    <row r="9" ht="18" customHeight="1" s="49">
      <c r="A9" s="53" t="n">
        <v>9</v>
      </c>
      <c r="B9" s="53" t="inlineStr">
        <is>
          <t>R11</t>
        </is>
      </c>
      <c r="C9" s="52" t="inlineStr">
        <is>
          <t>Cambio de atributos de Producto</t>
        </is>
      </c>
      <c r="D9" s="53" t="inlineStr">
        <is>
          <t>Fusionado</t>
        </is>
      </c>
      <c r="E9" s="53" t="inlineStr">
        <is>
          <t>R09</t>
        </is>
      </c>
      <c r="F9" s="52" t="inlineStr">
        <is>
          <t>Cambio de atributos en clases compartidas después del diagrama</t>
        </is>
      </c>
    </row>
    <row r="10" ht="18" customHeight="1" s="49">
      <c r="A10" s="53" t="n">
        <v>10</v>
      </c>
      <c r="B10" s="53" t="inlineStr">
        <is>
          <t>R19</t>
        </is>
      </c>
      <c r="C10" s="52" t="inlineStr">
        <is>
          <t>Alcance ampliado con más funcionalidades</t>
        </is>
      </c>
      <c r="D10" s="53" t="inlineStr">
        <is>
          <t>Reformulado</t>
        </is>
      </c>
      <c r="E10" s="53" t="inlineStr">
        <is>
          <t>R08</t>
        </is>
      </c>
      <c r="F10" s="52" t="inlineStr">
        <is>
          <t>Funcionalidad que la consigna no pide, agregada por el agente</t>
        </is>
      </c>
    </row>
    <row r="11" ht="18" customHeight="1" s="49">
      <c r="A11" s="53" t="n">
        <v>11</v>
      </c>
      <c r="B11" s="53" t="inlineStr">
        <is>
          <t>R32</t>
        </is>
      </c>
      <c r="C11" s="52" t="inlineStr">
        <is>
          <t>Comanda abierta por olvido del mozo</t>
        </is>
      </c>
      <c r="D11" s="53" t="inlineStr">
        <is>
          <t>Fusionado</t>
        </is>
      </c>
      <c r="E11" s="53" t="inlineStr">
        <is>
          <t>R11</t>
        </is>
      </c>
      <c r="F11" s="52" t="inlineStr">
        <is>
          <t>Mesa OCUPADA sin atención real</t>
        </is>
      </c>
    </row>
    <row r="12" ht="30.75" customHeight="1" s="49">
      <c r="A12" s="53" t="n">
        <v>12</v>
      </c>
      <c r="B12" s="53" t="inlineStr">
        <is>
          <t>R03</t>
        </is>
      </c>
      <c r="C12" s="52" t="inlineStr">
        <is>
          <t>Formato poco práctico para mesas y sectores</t>
        </is>
      </c>
      <c r="D12" s="53" t="inlineStr">
        <is>
          <t>Descartado</t>
        </is>
      </c>
      <c r="E12" s="53" t="inlineStr">
        <is>
          <t>—</t>
        </is>
      </c>
      <c r="F12" s="52" t="inlineStr">
        <is>
          <t>No hay encargado real que valide prototipos; la usabilidad general se cubre con los estándares de UI (inconsistencia) y las reviews.</t>
        </is>
      </c>
    </row>
    <row r="13" ht="18" customHeight="1" s="49">
      <c r="A13" s="53" t="n">
        <v>13</v>
      </c>
      <c r="B13" s="53" t="inlineStr">
        <is>
          <t>R21</t>
        </is>
      </c>
      <c r="C13" s="52" t="inlineStr">
        <is>
          <t>Dificultad para integrar los módulos</t>
        </is>
      </c>
      <c r="D13" s="53" t="inlineStr">
        <is>
          <t>Fusionado</t>
        </is>
      </c>
      <c r="E13" s="53" t="inlineStr">
        <is>
          <t>R07</t>
        </is>
      </c>
      <c r="F13" s="52" t="inlineStr">
        <is>
          <t>Código y pantallas inconsistentes entre módulos</t>
        </is>
      </c>
    </row>
    <row r="14" ht="18" customHeight="1" s="49">
      <c r="A14" s="53" t="n">
        <v>14</v>
      </c>
      <c r="B14" s="53" t="inlineStr">
        <is>
          <t>R26</t>
        </is>
      </c>
      <c r="C14" s="52" t="inlineStr">
        <is>
          <t>Cobro con monto incorrecto</t>
        </is>
      </c>
      <c r="D14" s="53" t="inlineStr">
        <is>
          <t>Reformulado</t>
        </is>
      </c>
      <c r="E14" s="53" t="inlineStr">
        <is>
          <t>R14</t>
        </is>
      </c>
      <c r="F14" s="52" t="inlineStr">
        <is>
          <t>Saldo o monto de cobro incorrecto</t>
        </is>
      </c>
    </row>
    <row r="15" ht="44.25" customHeight="1" s="49">
      <c r="A15" s="53" t="n">
        <v>15</v>
      </c>
      <c r="B15" s="53" t="inlineStr">
        <is>
          <t>R32</t>
        </is>
      </c>
      <c r="C15" s="52" t="inlineStr">
        <is>
          <t>Entrega parcial registrada como completa</t>
        </is>
      </c>
      <c r="D15" s="53" t="inlineStr">
        <is>
          <t>Descartado</t>
        </is>
      </c>
      <c r="E15" s="53" t="inlineStr">
        <is>
          <t>—</t>
        </is>
      </c>
      <c r="F15" s="52" t="inlineStr">
        <is>
          <t>El estado de entrega es por DetalleComanda y el «sin pendientes» se deriva; lo cubren los criterios de aceptación de HU-M4 (prueba simple), no justifica un riesgo.</t>
        </is>
      </c>
    </row>
    <row r="16" ht="18" customHeight="1" s="49">
      <c r="A16" s="53" t="n">
        <v>16</v>
      </c>
      <c r="B16" s="53" t="inlineStr">
        <is>
          <t>R10</t>
        </is>
      </c>
      <c r="C16" s="52" t="inlineStr">
        <is>
          <t>Fotos HEIC en la carta</t>
        </is>
      </c>
      <c r="D16" s="53" t="inlineStr">
        <is>
          <t>Reformulado</t>
        </is>
      </c>
      <c r="E16" s="53" t="inlineStr">
        <is>
          <t>R23</t>
        </is>
      </c>
      <c r="F16" s="52" t="inlineStr">
        <is>
          <t>Fotos HEIC que no se ven en la carta</t>
        </is>
      </c>
    </row>
    <row r="17" ht="18" customHeight="1" s="49">
      <c r="A17" s="53" t="n">
        <v>17</v>
      </c>
      <c r="B17" s="53" t="inlineStr">
        <is>
          <t>R20</t>
        </is>
      </c>
      <c r="C17" s="52" t="inlineStr">
        <is>
          <t>Promociones huérfanas por baja de productos</t>
        </is>
      </c>
      <c r="D17" s="53" t="inlineStr">
        <is>
          <t>Fusionado</t>
        </is>
      </c>
      <c r="E17" s="53" t="inlineStr">
        <is>
          <t>R17</t>
        </is>
      </c>
      <c r="F17" s="52" t="inlineStr">
        <is>
          <t>Baja de producto o sección que está en uso</t>
        </is>
      </c>
    </row>
    <row r="18" ht="18" customHeight="1" s="49">
      <c r="A18" s="53" t="n">
        <v>18</v>
      </c>
      <c r="B18" s="53" t="inlineStr">
        <is>
          <t>R31</t>
        </is>
      </c>
      <c r="C18" s="52" t="inlineStr">
        <is>
          <t>Comanda reabierta después de facturar</t>
        </is>
      </c>
      <c r="D18" s="53" t="inlineStr">
        <is>
          <t>Reformulado</t>
        </is>
      </c>
      <c r="E18" s="53" t="inlineStr">
        <is>
          <t>R12</t>
        </is>
      </c>
      <c r="F18" s="52" t="inlineStr">
        <is>
          <t>Comanda reabierta después de facturada</t>
        </is>
      </c>
    </row>
    <row r="19" ht="18" customHeight="1" s="49">
      <c r="A19" s="53" t="n">
        <v>19</v>
      </c>
      <c r="B19" s="53" t="inlineStr">
        <is>
          <t>R18</t>
        </is>
      </c>
      <c r="C19" s="52" t="inlineStr">
        <is>
          <t>Subestimación de las pruebas (QA)</t>
        </is>
      </c>
      <c r="D19" s="53" t="inlineStr">
        <is>
          <t>Reformulado</t>
        </is>
      </c>
      <c r="E19" s="53" t="inlineStr">
        <is>
          <t>R05</t>
        </is>
      </c>
      <c r="F19" s="52" t="inlineStr">
        <is>
          <t>Pruebas de integración tardías antes del 15/11</t>
        </is>
      </c>
    </row>
    <row r="20" ht="18" customHeight="1" s="49">
      <c r="A20" s="53" t="n">
        <v>20</v>
      </c>
      <c r="B20" s="53" t="inlineStr">
        <is>
          <t>R06</t>
        </is>
      </c>
      <c r="C20" s="52" t="inlineStr">
        <is>
          <t>Doble reserva de la misma mesa</t>
        </is>
      </c>
      <c r="D20" s="53" t="inlineStr">
        <is>
          <t>Reformulado</t>
        </is>
      </c>
      <c r="E20" s="53" t="inlineStr">
        <is>
          <t>R13</t>
        </is>
      </c>
      <c r="F20" s="52" t="inlineStr">
        <is>
          <t>Doble reserva de la misma mesa</t>
        </is>
      </c>
    </row>
    <row r="21" ht="30.75" customHeight="1" s="49">
      <c r="A21" s="53" t="n">
        <v>21</v>
      </c>
      <c r="B21" s="53" t="inlineStr">
        <is>
          <t>R13</t>
        </is>
      </c>
      <c r="C21" s="52" t="inlineStr">
        <is>
          <t>Precio de la comanda cambia al facturar</t>
        </is>
      </c>
      <c r="D21" s="53" t="inlineStr">
        <is>
          <t>Resuelto</t>
        </is>
      </c>
      <c r="E21" s="53" t="inlineStr">
        <is>
          <t>—</t>
        </is>
      </c>
      <c r="F21" s="52" t="inlineStr">
        <is>
          <t>El diagrama ya guarda precioUnitario en DetalleComanda al pedir (la contingencia original se adoptó).</t>
        </is>
      </c>
    </row>
    <row r="22" ht="18" customHeight="1" s="49">
      <c r="A22" s="53" t="n">
        <v>22</v>
      </c>
      <c r="B22" s="53" t="inlineStr">
        <is>
          <t>R25</t>
        </is>
      </c>
      <c r="C22" s="52" t="inlineStr">
        <is>
          <t>Medio de pago en uso eliminado o deshabilitado</t>
        </is>
      </c>
      <c r="D22" s="53" t="inlineStr">
        <is>
          <t>Fusionado</t>
        </is>
      </c>
      <c r="E22" s="53" t="inlineStr">
        <is>
          <t>R22</t>
        </is>
      </c>
      <c r="F22" s="52" t="inlineStr">
        <is>
          <t>Cobro con medio de pago deshabilitado o eliminado</t>
        </is>
      </c>
    </row>
    <row r="23" ht="18" customHeight="1" s="49">
      <c r="A23" s="53" t="n">
        <v>23</v>
      </c>
      <c r="B23" s="53" t="inlineStr">
        <is>
          <t>R32</t>
        </is>
      </c>
      <c r="C23" s="52" t="inlineStr">
        <is>
          <t>Baja de producto con comanda abierta</t>
        </is>
      </c>
      <c r="D23" s="53" t="inlineStr">
        <is>
          <t>Fusionado</t>
        </is>
      </c>
      <c r="E23" s="53" t="inlineStr">
        <is>
          <t>R17</t>
        </is>
      </c>
      <c r="F23" s="52" t="inlineStr">
        <is>
          <t>Baja de producto o sección que está en uso</t>
        </is>
      </c>
    </row>
    <row r="24" ht="18" customHeight="1" s="49">
      <c r="A24" s="53" t="n">
        <v>24</v>
      </c>
      <c r="B24" s="53" t="inlineStr">
        <is>
          <t>R12</t>
        </is>
      </c>
      <c r="C24" s="52" t="inlineStr">
        <is>
          <t>Zona horaria y turnos en el reporte de productos</t>
        </is>
      </c>
      <c r="D24" s="53" t="inlineStr">
        <is>
          <t>Reformulado</t>
        </is>
      </c>
      <c r="E24" s="53" t="inlineStr">
        <is>
          <t>R18</t>
        </is>
      </c>
      <c r="F24" s="52" t="inlineStr">
        <is>
          <t>Turno y franja horaria mal calculados en los reportes</t>
        </is>
      </c>
    </row>
    <row r="25" ht="18" customHeight="1" s="49">
      <c r="A25" s="53" t="n">
        <v>25</v>
      </c>
      <c r="B25" s="53" t="inlineStr">
        <is>
          <t>R17</t>
        </is>
      </c>
      <c r="C25" s="52" t="inlineStr">
        <is>
          <t>Incumplimiento de guías de estilo</t>
        </is>
      </c>
      <c r="D25" s="53" t="inlineStr">
        <is>
          <t>Fusionado</t>
        </is>
      </c>
      <c r="E25" s="53" t="inlineStr">
        <is>
          <t>R07</t>
        </is>
      </c>
      <c r="F25" s="52" t="inlineStr">
        <is>
          <t>Código y pantallas inconsistentes entre módulos</t>
        </is>
      </c>
    </row>
    <row r="26" ht="18" customHeight="1" s="49">
      <c r="A26" s="53" t="n">
        <v>26</v>
      </c>
      <c r="B26" s="53" t="inlineStr">
        <is>
          <t>R23</t>
        </is>
      </c>
      <c r="C26" s="52" t="inlineStr">
        <is>
          <t>Versiones de librerías distintas</t>
        </is>
      </c>
      <c r="D26" s="53" t="inlineStr">
        <is>
          <t>Reformulado</t>
        </is>
      </c>
      <c r="E26" s="53" t="inlineStr">
        <is>
          <t>R16</t>
        </is>
      </c>
      <c r="F26" s="52" t="inlineStr">
        <is>
          <t>Entornos locales distintos entre integrantes</t>
        </is>
      </c>
    </row>
    <row r="27" ht="18" customHeight="1" s="49">
      <c r="A27" s="53" t="n">
        <v>27</v>
      </c>
      <c r="B27" s="53" t="inlineStr">
        <is>
          <t>R30</t>
        </is>
      </c>
      <c r="C27" s="52" t="inlineStr">
        <is>
          <t>Datos inválidos en el ABM de medios de pago</t>
        </is>
      </c>
      <c r="D27" s="53" t="inlineStr">
        <is>
          <t>Fusionado</t>
        </is>
      </c>
      <c r="E27" s="53" t="inlineStr">
        <is>
          <t>R22</t>
        </is>
      </c>
      <c r="F27" s="52" t="inlineStr">
        <is>
          <t>Cobro con medio de pago deshabilitado o eliminado</t>
        </is>
      </c>
    </row>
    <row r="28" ht="30.75" customHeight="1" s="49">
      <c r="A28" s="53" t="n">
        <v>28</v>
      </c>
      <c r="B28" s="53" t="inlineStr">
        <is>
          <t>R16</t>
        </is>
      </c>
      <c r="C28" s="52" t="inlineStr">
        <is>
          <t>Promociones absorben las ventas</t>
        </is>
      </c>
      <c r="D28" s="53" t="inlineStr">
        <is>
          <t>Descartado</t>
        </is>
      </c>
      <c r="E28" s="53" t="inlineStr">
        <is>
          <t>—</t>
        </is>
      </c>
      <c r="F28" s="52" t="inlineStr">
        <is>
          <t>Es una hipótesis comercial sobre un restaurante simulado, no un riesgo del proyecto.</t>
        </is>
      </c>
    </row>
    <row r="29" ht="18" customHeight="1" s="49">
      <c r="A29" s="53" t="n">
        <v>29</v>
      </c>
      <c r="B29" s="53" t="inlineStr">
        <is>
          <t>R28</t>
        </is>
      </c>
      <c r="C29" s="52" t="inlineStr">
        <is>
          <t>Factura generada dos veces</t>
        </is>
      </c>
      <c r="D29" s="53" t="inlineStr">
        <is>
          <t>Reformulado</t>
        </is>
      </c>
      <c r="E29" s="53" t="inlineStr">
        <is>
          <t>R21</t>
        </is>
      </c>
      <c r="F29" s="52" t="inlineStr">
        <is>
          <t>Factura duplicada para la misma comanda</t>
        </is>
      </c>
    </row>
    <row r="30" ht="18" customHeight="1" s="49">
      <c r="A30" s="53" t="n">
        <v>30</v>
      </c>
      <c r="B30" s="53" t="inlineStr">
        <is>
          <t>R14</t>
        </is>
      </c>
      <c r="C30" s="52" t="inlineStr">
        <is>
          <t>Baja de sección oculta productos activos</t>
        </is>
      </c>
      <c r="D30" s="53" t="inlineStr">
        <is>
          <t>Fusionado</t>
        </is>
      </c>
      <c r="E30" s="53" t="inlineStr">
        <is>
          <t>R17</t>
        </is>
      </c>
      <c r="F30" s="52" t="inlineStr">
        <is>
          <t>Baja de producto o sección que está en uso</t>
        </is>
      </c>
    </row>
    <row r="31" ht="30.75" customHeight="1" s="49">
      <c r="A31" s="53" t="n">
        <v>31</v>
      </c>
      <c r="B31" s="53" t="inlineStr">
        <is>
          <t>R15</t>
        </is>
      </c>
      <c r="C31" s="52" t="inlineStr">
        <is>
          <t>Dos encargados modifican el mismo menú a la vez</t>
        </is>
      </c>
      <c r="D31" s="53" t="inlineStr">
        <is>
          <t>Descartado</t>
        </is>
      </c>
      <c r="E31" s="53" t="inlineStr">
        <is>
          <t>—</t>
        </is>
      </c>
      <c r="F31" s="52" t="inlineStr">
        <is>
          <t>Un solo restaurante y SQLite serializa las escrituras (RNF-REN-04): probabilidad despreciable.</t>
        </is>
      </c>
    </row>
    <row r="32" ht="18" customHeight="1" s="49">
      <c r="A32" s="53" t="n">
        <v>32</v>
      </c>
      <c r="B32" s="53" t="inlineStr">
        <is>
          <t>R27</t>
        </is>
      </c>
      <c r="C32" s="52" t="inlineStr">
        <is>
          <t>Cobro con medio de pago deshabilitado</t>
        </is>
      </c>
      <c r="D32" s="53" t="inlineStr">
        <is>
          <t>Fusionado</t>
        </is>
      </c>
      <c r="E32" s="53" t="inlineStr">
        <is>
          <t>R22</t>
        </is>
      </c>
      <c r="F32" s="52" t="inlineStr">
        <is>
          <t>Cobro con medio de pago deshabilitado o eliminado</t>
        </is>
      </c>
    </row>
    <row r="33" ht="18" customHeight="1" s="49">
      <c r="A33" s="53" t="n">
        <v>33</v>
      </c>
      <c r="B33" s="53" t="inlineStr">
        <is>
          <t>R08</t>
        </is>
      </c>
      <c r="C33" s="52" t="inlineStr">
        <is>
          <t>Tolerancia para considerar ausencia</t>
        </is>
      </c>
      <c r="D33" s="53" t="inlineStr">
        <is>
          <t>Fusionado</t>
        </is>
      </c>
      <c r="E33" s="53" t="inlineStr">
        <is>
          <t>R06</t>
        </is>
      </c>
      <c r="F33" s="52" t="inlineStr">
        <is>
          <t>Supuestos propios que la cátedra no confirma</t>
        </is>
      </c>
    </row>
    <row r="34" ht="18" customHeight="1" s="49">
      <c r="A34" s="53" t="n">
        <v>34</v>
      </c>
      <c r="B34" s="53" t="inlineStr">
        <is>
          <t>R29</t>
        </is>
      </c>
      <c r="C34" s="52" t="inlineStr">
        <is>
          <t>El reporte muestra resultados incorrectos</t>
        </is>
      </c>
      <c r="D34" s="53" t="inlineStr">
        <is>
          <t>Fusionado</t>
        </is>
      </c>
      <c r="E34" s="53" t="inlineStr">
        <is>
          <t>R19</t>
        </is>
      </c>
      <c r="F34" s="52" t="inlineStr">
        <is>
          <t>Reportes con resultados que no coinciden con los datos</t>
        </is>
      </c>
    </row>
    <row r="35" ht="18" customHeight="1" s="49">
      <c r="A35" s="53" t="n">
        <v>35</v>
      </c>
      <c r="B35" s="53" t="inlineStr">
        <is>
          <t>R02</t>
        </is>
      </c>
      <c r="C35" s="52" t="inlineStr">
        <is>
          <t>Errores en el reporte de mesas y ventas por mozo</t>
        </is>
      </c>
      <c r="D35" s="53" t="inlineStr">
        <is>
          <t>Fusionado</t>
        </is>
      </c>
      <c r="E35" s="53" t="inlineStr">
        <is>
          <t>R19</t>
        </is>
      </c>
      <c r="F35" s="52" t="inlineStr">
        <is>
          <t>Reportes con resultados que no coinciden con los datos</t>
        </is>
      </c>
    </row>
    <row r="37" ht="45.75" customHeight="1" s="49">
      <c r="A37" s="64" t="inlineStr">
        <is>
          <t>Riesgos nuevos (7): disponibilidad, revisión de PR, Sprint 1 sobrecargado, supuestos (parte), cuota de IA, promociones superpuestas y fecha del 15/11. Salen del plan de trabajo (§4, §5, §8, §10). En la revisión del equipo se quitó el riesgo «Cierre de 4 días con entregables manuales» y se renumeraron los IDs.</t>
        </is>
      </c>
    </row>
    <row r="38" ht="45.75" customHeight="1" s="49">
      <c r="A38" s="64" t="inlineStr">
        <is>
          <t>Se eliminaron las columnas «No» y «#GENERALIZAR» (notas sueltas), los IDs duplicados (R32 aparecía tres veces) y la fórmula cargada a mano en R15. Todas las E ahora son fórmulas. En la revisión del equipo también se quitaron las columnas #, Módulo y Origen.</t>
        </is>
      </c>
    </row>
  </sheetData>
  <mergeCells count="2">
    <mergeCell ref="A38:F38"/>
    <mergeCell ref="A37:F3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es-ES</dc:language>
  <dcterms:created xmlns:dcterms="http://purl.org/dc/terms/" xmlns:xsi="http://www.w3.org/2001/XMLSchema-instance" xsi:type="dcterms:W3CDTF">2026-10-09T18:44:38Z</dcterms:created>
  <dcterms:modified xmlns:dcterms="http://purl.org/dc/terms/" xmlns:xsi="http://www.w3.org/2001/XMLSchema-instance" xsi:type="dcterms:W3CDTF">2026-10-31T16:44:02Z</dcterms:modified>
  <cp:revision>8</cp:revision>
</cp:coreProperties>
</file>